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2" activeTab="4"/>
  </bookViews>
  <sheets>
    <sheet name="Ejemplo de la Plantilla" sheetId="1" r:id="rId1"/>
    <sheet name="Infraestructura(HW y SW)" sheetId="2" r:id="rId2"/>
    <sheet name="Análisis de Proveedores" sheetId="3" r:id="rId3"/>
    <sheet name="Talento Humano" sheetId="4" r:id="rId4"/>
    <sheet name="Resumen Ejecutiv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<sst xmlns="http://schemas.openxmlformats.org/spreadsheetml/2006/main" count="102" uniqueCount="102">
  <si>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Plataforma Web de Gestión de Inventarios con App para Repartidores</t>
  </si>
  <si>
    <t>Infraestructura (Hardware y Software)</t>
  </si>
  <si>
    <t>Aquí se colocan los servidores, dominios y herramientas.</t>
  </si>
  <si>
    <t>Ítem</t>
  </si>
  <si>
    <t>Descripción Técnica</t>
  </si>
  <si>
    <t>Proveedor</t>
  </si>
  <si>
    <t>Cantidad</t>
  </si>
  <si>
    <t>Valor Unitario
 $</t>
  </si>
  <si>
    <t>Subtotal</t>
  </si>
  <si>
    <t>Servidor NAS Local</t>
  </si>
  <si>
    <t>Servidor de almacenamiento en red 4-Bay para historias clínicas y videos de seguridad.</t>
  </si>
  <si>
    <t>Synology Colombia / Aliado local</t>
  </si>
  <si>
    <t>Software de Gestión</t>
  </si>
  <si>
    <t>Suscripción anual SaaS para el control de adopciones, vacunas y adoptantes.</t>
  </si>
  <si>
    <t>Shelterluv / Software Especializado</t>
  </si>
  <si>
    <t>Router y Conectividad</t>
  </si>
  <si>
    <t>Router de alta capacidad para interconectar veterinaria, recepción y administración.</t>
  </si>
  <si>
    <t>TP-Link Colombia</t>
  </si>
  <si>
    <t>Dominio y Hosting Web</t>
  </si>
  <si>
    <t>Hosting anual y dominio .org para página web de adopciones y pasarela de donaciones.</t>
  </si>
  <si>
    <t>Hostinger Colombia</t>
  </si>
  <si>
    <t>Licencias de OS</t>
  </si>
  <si>
    <t xml:space="preserve">Licencias comerciales Windows 11 Pro para las computadoras operativas del refugio de animales </t>
  </si>
  <si>
    <t>Microsoft Colombia</t>
  </si>
  <si>
    <t>2.040.000</t>
  </si>
  <si>
    <t>Email Corp</t>
  </si>
  <si>
    <t>Servicio de correo para notificaciones</t>
  </si>
  <si>
    <t>Zoho Mail</t>
  </si>
  <si>
    <t>API Maps</t>
  </si>
  <si>
    <t>Cuota de uso para geolocalización - Free Tier</t>
  </si>
  <si>
    <t>Google Cloud</t>
  </si>
  <si>
    <t>TOTAL</t>
  </si>
  <si>
    <t>Análisis de Proveedores</t>
  </si>
  <si>
    <t>Aquí se comparan opciones para justificar su elección.</t>
  </si>
  <si>
    <t>Componente</t>
  </si>
  <si>
    <t>Opción A - Económica</t>
  </si>
  <si>
    <t>Opción B - Profesional</t>
  </si>
  <si>
    <t>Ventaja Ganadora</t>
  </si>
  <si>
    <t>Elección Final</t>
  </si>
  <si>
    <t>Servidor / Hosting</t>
  </si>
  <si>
    <t>Hostinger: $28.000 / mes. Incluye panel fácil y soporte en español.</t>
  </si>
  <si>
    <t>AWS (Amazon): $65.000 / mes. Alta escalabilidad y servicios globales.</t>
  </si>
  <si>
    <t>Relación Costo-Beneficio: Para la etapa de lanzamiento (MVP), Hostinger cubre todas las necesidades por un tercio del precio.</t>
  </si>
  <si>
    <t>Hostinger</t>
  </si>
  <si>
    <t>Dominio</t>
  </si>
  <si>
    <t>GoDaddy: $60.000 el primer año. Renovación costosa ($90k).</t>
  </si>
  <si>
    <t>Mi.com.co: $55.000 anual. Precio estable y soporte local en Colombia.</t>
  </si>
  <si>
    <t>Estabilidad de Precio: El proveedor local ofrece mejores tarifas de renovación para el dominio territorial .com.co.</t>
  </si>
  <si>
    <t>Mi.com.co</t>
  </si>
  <si>
    <t xml:space="preserve">Correo corporativo </t>
  </si>
  <si>
    <t>Zoho mail: aprox 5.000/usuario/mes .</t>
  </si>
  <si>
    <t>Google Workspace aprox 35.000/usuario/mes</t>
  </si>
  <si>
    <t xml:space="preserve">Menor costo: Zoho permite manejar correos institucionales y notificaciones sin aumentar demasiado el presupuesto  </t>
  </si>
  <si>
    <t>Zoho mail</t>
  </si>
  <si>
    <t>Base de Datos</t>
  </si>
  <si>
    <t>MySQL (Local): $0. Viene incluido en el plan de hosting.</t>
  </si>
  <si>
    <t>MongoDB Atlas: $0 (Capa gratuita), pero requiere configuración externa.</t>
  </si>
  <si>
    <t>Simplicidad Técnica: Al ser un modelo relacional, usar MySQL dentro del mismo servidor evita latencia y costos extras.</t>
  </si>
  <si>
    <t>MySQL (Local)</t>
  </si>
  <si>
    <t>Talento Humano</t>
  </si>
  <si>
    <t>Aquí se calculan cuánto vale su tiempo de acuerdo a su rol a desempeñar</t>
  </si>
  <si>
    <t>Rol</t>
  </si>
  <si>
    <t>Cargo o Nombre</t>
  </si>
  <si>
    <t>Valor Hora $</t>
  </si>
  <si>
    <t>Horas Estimadas</t>
  </si>
  <si>
    <t>Subtotal Mano
Obra</t>
  </si>
  <si>
    <t>Valor Sugerido
2026 $</t>
  </si>
  <si>
    <t>Por qué el ajuste</t>
  </si>
  <si>
    <t>Médico Veterinario</t>
  </si>
  <si>
    <t>Cirugías, esterilizaciones y consultas clínicas urgentes.</t>
  </si>
  <si>
    <t>$40.000 - $45.000</t>
  </si>
  <si>
    <t>La alta demanda técnica y responsabilidad médica en bienestar animal justifica un ajuste competitivo.</t>
  </si>
  <si>
    <t>Auxiliar Veterinario</t>
  </si>
  <si>
    <t>Cuidado diario de hospitalizados, aplicación de medicamentos y asepsia.</t>
  </si>
  <si>
    <t>$18.000 - $20.000</t>
  </si>
  <si>
    <t>Apoyo operativo crítico en turnos extendidos; requiere compensación sobre el salario mínimo proyectado.</t>
  </si>
  <si>
    <t>Coordinador de Adopciones</t>
  </si>
  <si>
    <t>Entrevistas a familias, seguimiento post-adopción y gestión de casos.</t>
  </si>
  <si>
    <t>$21.000 - $23.000</t>
  </si>
  <si>
    <t>Habilidad clave de comunicación y mitigación del riesgo de abandono repetido.</t>
  </si>
  <si>
    <t>Operario de Albergue / Caniles</t>
  </si>
  <si>
    <t>Limpieza profunda, alimentación, recreación y manejo conductual.</t>
  </si>
  <si>
    <t>$15.500 - $17.500</t>
  </si>
  <si>
    <t>Labor física de alto riesgo operacional e indispensable para la salud pública interna.</t>
  </si>
  <si>
    <t>Gestor de Donaciones / Procurador</t>
  </si>
  <si>
    <t>Campañas de recaudación, eventos, alianzas con empresas y marcas.</t>
  </si>
  <si>
    <t>$25.000 - $28.000</t>
  </si>
  <si>
    <t>Rol estratégico que asegura la autosostenibilidad financiera directa de la fundación.</t>
  </si>
  <si>
    <t>Especialista en Bienestar y Redes</t>
  </si>
  <si>
    <t>Educación comunitaria, manejo de canales digitales y rescates en campo.</t>
  </si>
  <si>
    <t>$19.500 - $22.000</t>
  </si>
  <si>
    <t>.Visibilidad indispensable en 2026 para captar padrinos y reportar transparencia.</t>
  </si>
  <si>
    <r>
      <rPr>
        <sz val="10"/>
        <color rgb="FFCC0000"/>
        <rFont val="Arial"/>
        <charset val="134"/>
      </rPr>
      <t>¿Por qué tienen un QA si ustedes mismos pueden probar su código?</t>
    </r>
    <r>
      <rPr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Respuesta sugerida:</t>
    </r>
    <r>
      <rPr>
        <sz val="10"/>
        <color theme="1"/>
        <rFont val="Arial"/>
        <charset val="134"/>
      </rPr>
      <t xml:space="preserve"> </t>
    </r>
    <r>
      <rPr>
        <i/>
        <sz val="10"/>
        <color theme="1"/>
        <rFont val="Arial"/>
        <charset val="134"/>
      </rPr>
      <t>"Como desarrolladores, tenemos 'ceguera de taller'. El rol de QA garantiza una visión objetiva y externa que asegura que el software cumpla con los requisitos de calidad exigidos por el cliente."</t>
    </r>
  </si>
  <si>
    <t>TOTAL MANO DE OBRA</t>
  </si>
  <si>
    <t>Resumen Ejecutivo</t>
  </si>
  <si>
    <t>Resumen de los valores anteriores</t>
  </si>
  <si>
    <t>Item</t>
  </si>
  <si>
    <t>Valores</t>
  </si>
  <si>
    <t>Inversión Tecnológica
(Infraestructura)</t>
  </si>
  <si>
    <t>Inversión en desarrollo
(Mano de Obra)</t>
  </si>
  <si>
    <t>Imprevistos y Contingencias
(10%)</t>
  </si>
  <si>
    <t>VALOR TOTAL DEL PROYECTO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</si>
</sst>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</numFmts>
  <fonts count="38">
    <font>
      <sz val="10"/>
      <color rgb="FF000000"/>
      <name val="Arial"/>
      <charset val="134"/>
      <scheme val="minor"/>
    </font>
    <font>
      <b/>
      <sz val="15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20"/>
      <color rgb="FFFFFFFF"/>
      <name val="Arial"/>
      <charset val="134"/>
      <scheme val="minor"/>
    </font>
    <font>
      <sz val="21"/>
      <color theme="1"/>
      <name val="Arial"/>
      <charset val="134"/>
      <scheme val="minor"/>
    </font>
    <font>
      <sz val="21"/>
      <color rgb="FF000000"/>
      <name val="Arial"/>
      <charset val="134"/>
      <scheme val="minor"/>
    </font>
    <font>
      <b/>
      <sz val="25"/>
      <color rgb="FFFFFFFF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15"/>
      <color rgb="FFFFFFFF"/>
      <name val="Arial"/>
      <charset val="134"/>
      <scheme val="minor"/>
    </font>
    <font>
      <sz val="10"/>
      <name val="Arial"/>
      <charset val="134"/>
    </font>
    <font>
      <b/>
      <sz val="12"/>
      <color rgb="FFFFFFFF"/>
      <name val="Arial"/>
      <charset val="134"/>
      <scheme val="minor"/>
    </font>
    <font>
      <b/>
      <sz val="14"/>
      <color rgb="FFFFFFFF"/>
      <name val="Arial"/>
      <charset val="134"/>
      <scheme val="minor"/>
    </font>
    <font>
      <b/>
      <sz val="70"/>
      <color rgb="FF38761D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sz val="10"/>
      <color rgb="FFCC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46524"/>
        <bgColor rgb="FFF46524"/>
      </patternFill>
    </fill>
    <fill>
      <patternFill patternType="solid">
        <fgColor rgb="FF38761D"/>
        <bgColor rgb="FF38761D"/>
      </patternFill>
    </fill>
    <fill>
      <patternFill patternType="solid">
        <fgColor rgb="FFFFF2E6"/>
        <bgColor rgb="FFFFF2E6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1155CC"/>
        <bgColor rgb="FF1155CC"/>
      </patternFill>
    </fill>
    <fill>
      <patternFill patternType="solid">
        <fgColor rgb="FF003CC5"/>
        <bgColor rgb="FF003CC5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3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3" fontId="6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7" fillId="2" borderId="0" xfId="0" applyFont="1" applyFill="1"/>
    <xf numFmtId="0" fontId="2" fillId="0" borderId="1" xfId="0" applyFont="1" applyBorder="1" applyAlignment="1">
      <alignment wrapText="1"/>
    </xf>
    <xf numFmtId="0" fontId="7" fillId="3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8" fillId="3" borderId="0" xfId="0" applyFont="1" applyFill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5" borderId="2" xfId="49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178" fontId="9" fillId="5" borderId="2" xfId="49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9" fillId="5" borderId="2" xfId="49" applyFont="1" applyFill="1" applyBorder="1" applyAlignment="1">
      <alignment horizontal="center" vertical="center"/>
    </xf>
    <xf numFmtId="0" fontId="9" fillId="6" borderId="2" xfId="49" applyFont="1" applyFill="1" applyBorder="1" applyAlignment="1">
      <alignment horizontal="left" vertical="center" wrapText="1"/>
    </xf>
    <xf numFmtId="178" fontId="9" fillId="6" borderId="2" xfId="49" applyNumberFormat="1" applyFont="1" applyFill="1" applyBorder="1" applyAlignment="1">
      <alignment horizontal="center" vertical="center"/>
    </xf>
    <xf numFmtId="0" fontId="9" fillId="6" borderId="2" xfId="49" applyFont="1" applyFill="1" applyBorder="1" applyAlignment="1">
      <alignment horizontal="center" vertical="center"/>
    </xf>
    <xf numFmtId="3" fontId="9" fillId="5" borderId="2" xfId="49" applyNumberFormat="1" applyFont="1" applyFill="1" applyBorder="1" applyAlignment="1">
      <alignment horizontal="center" vertical="center"/>
    </xf>
    <xf numFmtId="3" fontId="9" fillId="6" borderId="2" xfId="49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3" fontId="10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3" fontId="10" fillId="3" borderId="0" xfId="0" applyNumberFormat="1" applyFont="1" applyFill="1" applyAlignment="1">
      <alignment vertical="center" wrapText="1"/>
    </xf>
    <xf numFmtId="0" fontId="0" fillId="0" borderId="0" xfId="0" applyAlignment="1">
      <alignment horizontal="center"/>
    </xf>
    <xf numFmtId="0" fontId="8" fillId="7" borderId="0" xfId="0" applyFont="1" applyFill="1" applyAlignment="1">
      <alignment horizontal="right"/>
    </xf>
    <xf numFmtId="0" fontId="8" fillId="8" borderId="0" xfId="0" applyFont="1" applyFill="1" applyAlignment="1">
      <alignment horizontal="right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3" fontId="0" fillId="0" borderId="1" xfId="0" applyNumberFormat="1" applyFont="1" applyBorder="1" applyAlignment="1">
      <alignment horizontal="right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vertical="center" wrapText="1"/>
    </xf>
    <xf numFmtId="0" fontId="11" fillId="9" borderId="0" xfId="0" applyFont="1" applyFill="1" applyAlignment="1">
      <alignment horizontal="center" vertical="center" wrapText="1"/>
    </xf>
    <xf numFmtId="3" fontId="11" fillId="9" borderId="0" xfId="0" applyNumberFormat="1" applyFont="1" applyFill="1" applyAlignment="1">
      <alignment vertical="center" wrapText="1"/>
    </xf>
    <xf numFmtId="0" fontId="2" fillId="4" borderId="0" xfId="0" applyFont="1" applyFill="1"/>
    <xf numFmtId="0" fontId="12" fillId="10" borderId="0" xfId="0" applyFont="1" applyFill="1" applyAlignment="1">
      <alignment horizontal="center" vertical="center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dxfs count="16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3CC5"/>
          <bgColor rgb="FF003CC5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</dxfs>
  <tableStyles count="4">
    <tableStyle name="Infraestructura(HW y SW)-style" pivot="0" count="4" xr9:uid="{8E6F7357-934B-4C6F-B4F8-5E894CE40F40}">
      <tableStyleElement type="wholeTable" dxfId="3"/>
      <tableStyleElement type="headerRow" dxfId="2"/>
      <tableStyleElement type="firstRowStripe" dxfId="1"/>
      <tableStyleElement type="secondRowStripe" dxfId="0"/>
    </tableStyle>
    <tableStyle name="Talento Humano-style" pivot="0" count="4" xr9:uid="{0FCDA46E-E5EF-443F-BD18-D59710E57843}">
      <tableStyleElement type="wholeTable" dxfId="7"/>
      <tableStyleElement type="headerRow" dxfId="6"/>
      <tableStyleElement type="firstRowStripe" dxfId="5"/>
      <tableStyleElement type="secondRowStripe" dxfId="4"/>
    </tableStyle>
    <tableStyle name="Análisis de Proveedores-style" pivot="0" count="4" xr9:uid="{5CE5917E-F3ED-4542-9BE4-60E4BC3749E7}">
      <tableStyleElement type="wholeTable" dxfId="11"/>
      <tableStyleElement type="headerRow" dxfId="10"/>
      <tableStyleElement type="firstRowStripe" dxfId="9"/>
      <tableStyleElement type="secondRowStripe" dxfId="8"/>
    </tableStyle>
    <tableStyle name="Resumen Ejecutivo-style" pivot="0" count="4" xr9:uid="{D0DA3C4D-694F-41D9-9697-6B9DCE29509E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Infraestuctura" displayName="Infraestuctura" ref="B5:G19">
  <tableColumns count="6">
    <tableColumn id="1" name="Ítem"/>
    <tableColumn id="2" name="Descripción Técnica"/>
    <tableColumn id="3" name="Proveedor"/>
    <tableColumn id="4" name="Cantidad"/>
    <tableColumn id="5" name="Valor Unitario&#10; $"/>
    <tableColumn id="6" name="Subtotal"/>
  </tableColumns>
  <tableStyleInfo name="Infraestructura(HW y SW)-style" showFirstColumn="1" showLastColumn="1" showRowStripes="1" showColumnStripes="0"/>
</table>
</file>

<file path=xl/tables/table2.xml><?xml version="1.0" encoding="utf-8"?>
<table xmlns="http://schemas.openxmlformats.org/spreadsheetml/2006/main" id="2" name="Análisis" displayName="Análisis" ref="B5:F15">
  <tableColumns count="5">
    <tableColumn id="1" name="Componente"/>
    <tableColumn id="2" name="Opción A - Económica"/>
    <tableColumn id="3" name="Opción B - Profesional"/>
    <tableColumn id="4" name="Ventaja Ganadora"/>
    <tableColumn id="5" name="Elección Final"/>
  </tableColumns>
  <tableStyleInfo name="Análisis de Proveedores-style" showFirstColumn="1" showLastColumn="1" showRowStripes="1" showColumnStripes="0"/>
</table>
</file>

<file path=xl/tables/table3.xml><?xml version="1.0" encoding="utf-8"?>
<table xmlns="http://schemas.openxmlformats.org/spreadsheetml/2006/main" id="1" name="Talento_Humano" displayName="Talento_Humano" ref="B5:H14">
  <tableColumns count="7">
    <tableColumn id="1" name="Rol"/>
    <tableColumn id="2" name="Cargo o Nombre"/>
    <tableColumn id="3" name="Valor Hora $"/>
    <tableColumn id="4" name="Horas Estimadas"/>
    <tableColumn id="5" name="Subtotal Mano&#10;Obra"/>
    <tableColumn id="6" name="Valor Sugerido&#10;2026 $"/>
    <tableColumn id="7" name="Por qué el ajuste"/>
  </tableColumns>
  <tableStyleInfo name="Talento Humano-style" showFirstColumn="1" showLastColumn="1" showRowStripes="1" showColumnStripes="0"/>
</table>
</file>

<file path=xl/tables/table4.xml><?xml version="1.0" encoding="utf-8"?>
<table xmlns="http://schemas.openxmlformats.org/spreadsheetml/2006/main" id="4" name="Resumen_Ejecutivo" displayName="Resumen_Ejecutivo" ref="B5:C9">
  <tableColumns count="2">
    <tableColumn id="1" name="Item"/>
    <tableColumn id="2" name="Valores"/>
  </tableColumns>
  <tableStyleInfo name="Resumen Ejecutiv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showGridLines="0" workbookViewId="0">
      <selection activeCell="A1" sqref="A1"/>
    </sheetView>
  </sheetViews>
  <sheetFormatPr defaultColWidth="12.5740740740741" defaultRowHeight="15.75" customHeight="1"/>
  <cols>
    <col min="2" max="2" width="130.287037037037" customWidth="1"/>
    <col min="3" max="3" width="8.57407407407407" customWidth="1"/>
  </cols>
  <sheetData>
    <row r="1" ht="21.75" customHeight="1" spans="1:26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378.75" customHeight="1" spans="1:26">
      <c r="A2" s="46"/>
      <c r="B2" s="47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26.25" customHeight="1" spans="1:26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3.2" spans="1:26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3.2" spans="1:26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3.2" spans="1:2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3.2" spans="1:26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3.2" spans="1:26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3.2" spans="1:26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2" spans="1:26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2" spans="1:26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2" spans="1:26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2" spans="1:26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2" spans="1:26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2" spans="1:26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3.2" spans="1:2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3.2" spans="1:26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3.2" spans="1:26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3.2" spans="1:26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3.2" spans="1:26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3.2" spans="1:26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3.2" spans="1:26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3.2" spans="1:26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3.2" spans="1:26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3.2" spans="1:26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3.2" spans="1: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3.2" spans="1:26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3.2" spans="1:26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3.2" spans="1:26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3.2" spans="1:26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3.2" spans="1:26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3.2" spans="1:26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3.2" spans="1:26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3.2" spans="1:26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3.2" spans="1:26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3.2" spans="1:2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3.2" spans="1:26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3.2" spans="1:26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3.2" spans="1:26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3.2" spans="1:26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3.2" spans="1:26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3.2" spans="1:26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3.2" spans="1:26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3.2" spans="1:26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3.2" spans="1:26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3.2" spans="1:2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3.2" spans="1:26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3.2" spans="1:26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3.2" spans="1:26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3.2" spans="1:26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3.2" spans="1:26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3.2" spans="1:26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3.2" spans="1:26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3.2" spans="1:26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3.2" spans="1:26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3.2" spans="1:2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3.2" spans="1:26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3.2" spans="1:26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3.2" spans="1:26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3.2" spans="1:26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3.2" spans="1:26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3.2" spans="1:26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3.2" spans="1:26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3.2" spans="1:26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3.2" spans="1:26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3.2" spans="1:2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3.2" spans="1:26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3.2" spans="1:26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3.2" spans="1:26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3.2" spans="1:26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3.2" spans="1:26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3.2" spans="1:26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3.2" spans="1:26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3.2" spans="1:26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3.2" spans="1:26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3.2" spans="1:2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3.2" spans="1:26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3.2" spans="1:26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3.2" spans="1:26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3.2" spans="1:26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3.2" spans="1:26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3.2" spans="1:26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3.2" spans="1:26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3.2" spans="1:26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3.2" spans="1:26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3.2" spans="1:2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3.2" spans="1:26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3.2" spans="1:26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3.2" spans="1:26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3.2" spans="1:26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3.2" spans="1:26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3.2" spans="1:26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2" spans="1:26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3.2" spans="1:26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2" spans="1:26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2" spans="1:2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2" spans="1:26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3.2" spans="1:26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3.2" spans="1:26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2" spans="1:26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2" spans="1:26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2" spans="1:26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2" spans="1:26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2" spans="1:26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2" spans="1:26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2" spans="1:2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2" spans="1:26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2" spans="1:26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2" spans="1:26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2" spans="1:26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2" spans="1:26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2" spans="1:26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2" spans="1:26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2" spans="1:26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2" spans="1:26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2" spans="1:2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2" spans="1:26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2" spans="1:26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2" spans="1:26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2" spans="1:26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2" spans="1:26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2" spans="1:26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2" spans="1:26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2" spans="1:26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2" spans="1:26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2" spans="1: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2" spans="1:26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2" spans="1:26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2" spans="1:26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2" spans="1:26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2" spans="1:26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2" spans="1:26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2" spans="1:26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2" spans="1:26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2" spans="1:26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2" spans="1:2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2" spans="1:26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2" spans="1:26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2" spans="1:26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2" spans="1:26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2" spans="1:26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2" spans="1:26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2" spans="1:26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2" spans="1:26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2" spans="1:26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2" spans="1:2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2" spans="1:26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2" spans="1:26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2" spans="1:26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2" spans="1:26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2" spans="1:26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2" spans="1:26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2" spans="1:26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2" spans="1:26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2" spans="1:26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2" spans="1:2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2" spans="1:26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2" spans="1:26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2" spans="1:26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2" spans="1:26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2" spans="1:26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2" spans="1:26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2" spans="1:26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2" spans="1:26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2" spans="1:26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2" spans="1:2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2" spans="1:26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2" spans="1:26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2" spans="1:26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2" spans="1:26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2" spans="1:26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2" spans="1:26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2" spans="1:26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2" spans="1:26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2" spans="1:26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2" spans="1:2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2" spans="1:26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2" spans="1:26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2" spans="1:26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2" spans="1:26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2" spans="1:26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2" spans="1:26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2" spans="1:26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2" spans="1:26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2" spans="1:26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2" spans="1:2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2" spans="1:26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2" spans="1:26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2" spans="1:26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2" spans="1:26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2" spans="1:26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2" spans="1:26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2" spans="1:26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2" spans="1:26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2" spans="1:26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2" spans="1:2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2" spans="1:26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2" spans="1:26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2" spans="1:26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2" spans="1:26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2" spans="1:26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2" spans="1:26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2" spans="1:26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2" spans="1:26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2" spans="1:26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2" spans="1:2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2" spans="1:26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2" spans="1:26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2" spans="1:26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2" spans="1:26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2" spans="1:26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2" spans="1:26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2" spans="1:26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2" spans="1:26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2" spans="1:26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2" spans="1:2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2" spans="1:26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2" spans="1:26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2" spans="1:26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2" spans="1:26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2" spans="1:26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2" spans="1:26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2" spans="1:26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2" spans="1:26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2" spans="1:26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2" spans="1: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2" spans="1:26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2" spans="1:26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2" spans="1:26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2" spans="1:26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2" spans="1:26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2" spans="1:26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2" spans="1:26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2" spans="1:26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2" spans="1:26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2" spans="1:2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2" spans="1:26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2" spans="1:26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2" spans="1:26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2" spans="1:26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2" spans="1:26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2" spans="1:26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2" spans="1:26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2" spans="1:26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2" spans="1:26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2" spans="1:2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2" spans="1:26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2" spans="1:26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2" spans="1:26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2" spans="1:26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2" spans="1:26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2" spans="1:26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2" spans="1:26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2" spans="1:26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2" spans="1:26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2" spans="1:2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2" spans="1:26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2" spans="1:26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2" spans="1:26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2" spans="1:26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2" spans="1:26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2" spans="1:26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2" spans="1:26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2" spans="1:26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2" spans="1:26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2" spans="1:2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2" spans="1:26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2" spans="1:26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2" spans="1:26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2" spans="1:26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2" spans="1:26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2" spans="1:26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2" spans="1:26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2" spans="1:26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2" spans="1:26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2" spans="1:2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2" spans="1:26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2" spans="1:26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2" spans="1:26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2" spans="1:26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2" spans="1:26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2" spans="1:26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2" spans="1:26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2" spans="1:26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2" spans="1:26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2" spans="1:2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2" spans="1:26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2" spans="1:26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2" spans="1:26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2" spans="1:26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2" spans="1:26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2" spans="1:26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2" spans="1:26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2" spans="1:26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2" spans="1:26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2" spans="1:2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2" spans="1:26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2" spans="1:26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2" spans="1:26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2" spans="1:26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2" spans="1:26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2" spans="1:26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2" spans="1:26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2" spans="1:26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2" spans="1:26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2" spans="1:2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2" spans="1:26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2" spans="1:26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2" spans="1:26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2" spans="1:26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2" spans="1:26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2" spans="1:26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2" spans="1:26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2" spans="1:26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2" spans="1:26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2" spans="1:2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2" spans="1:26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2" spans="1:26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2" spans="1:26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2" spans="1:26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2" spans="1:26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2" spans="1:26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2" spans="1:26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2" spans="1:26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2" spans="1:26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2" spans="1: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2" spans="1:26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2" spans="1:26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2" spans="1:26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2" spans="1:26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2" spans="1:26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2" spans="1:26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2" spans="1:26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2" spans="1:26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2" spans="1:26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2" spans="1:2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2" spans="1:26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2" spans="1:26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2" spans="1:26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2" spans="1:26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2" spans="1:26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2" spans="1:26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2" spans="1:26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2" spans="1:26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2" spans="1:26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2" spans="1:2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2" spans="1:26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2" spans="1:26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2" spans="1:26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2" spans="1:26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2" spans="1:26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2" spans="1:26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2" spans="1:26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2" spans="1:26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2" spans="1:26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2" spans="1:2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2" spans="1:26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2" spans="1:26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2" spans="1:26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2" spans="1:26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2" spans="1:26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2" spans="1:26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2" spans="1:26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2" spans="1:26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2" spans="1:26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2" spans="1:2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2" spans="1:26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2" spans="1:26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2" spans="1:26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2" spans="1:26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2" spans="1:26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2" spans="1:26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2" spans="1:26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2" spans="1:26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2" spans="1:26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2" spans="1:2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2" spans="1:26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2" spans="1:26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2" spans="1:26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2" spans="1:26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2" spans="1:26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2" spans="1:26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2" spans="1:26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2" spans="1:26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2" spans="1:26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2" spans="1:2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2" spans="1:26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2" spans="1:26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2" spans="1:26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2" spans="1:26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2" spans="1:26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2" spans="1:26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2" spans="1:26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2" spans="1:26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2" spans="1:26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2" spans="1:2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2" spans="1:26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2" spans="1:26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2" spans="1:26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2" spans="1:26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2" spans="1:26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2" spans="1:26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2" spans="1:26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2" spans="1:26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2" spans="1:26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2" spans="1:2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2" spans="1:26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2" spans="1:26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2" spans="1:26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2" spans="1:26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2" spans="1:26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2" spans="1:26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2" spans="1:26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2" spans="1:26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2" spans="1:26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2" spans="1:2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2" spans="1:26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2" spans="1:26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2" spans="1:26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2" spans="1:26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2" spans="1:26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2" spans="1:26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2" spans="1:26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2" spans="1:26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2" spans="1:26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2" spans="1: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2" spans="1:26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2" spans="1:26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2" spans="1:26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2" spans="1:26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2" spans="1:26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2" spans="1:26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2" spans="1:26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2" spans="1:26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2" spans="1:26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2" spans="1:2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2" spans="1:26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2" spans="1:26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2" spans="1:26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2" spans="1:26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2" spans="1:26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2" spans="1:26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2" spans="1:26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2" spans="1:26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2" spans="1:26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2" spans="1:2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2" spans="1:26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2" spans="1:26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2" spans="1:26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2" spans="1:26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2" spans="1:26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2" spans="1:26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2" spans="1:26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2" spans="1:26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2" spans="1:26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2" spans="1:2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2" spans="1:26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2" spans="1:26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2" spans="1:26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2" spans="1:26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2" spans="1:26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2" spans="1:26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2" spans="1:26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2" spans="1:26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2" spans="1:26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2" spans="1:2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2" spans="1:26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2" spans="1:26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2" spans="1:26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2" spans="1:26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2" spans="1:26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2" spans="1:26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2" spans="1:26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2" spans="1:26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2" spans="1:26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2" spans="1:2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2" spans="1:26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2" spans="1:26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2" spans="1:26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2" spans="1:26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2" spans="1:26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2" spans="1:26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2" spans="1:26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2" spans="1:26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2" spans="1:26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2" spans="1:2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2" spans="1:26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2" spans="1:26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2" spans="1:26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2" spans="1:26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2" spans="1:26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2" spans="1:26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2" spans="1:26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2" spans="1:26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2" spans="1:26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2" spans="1:2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2" spans="1:26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2" spans="1:26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2" spans="1:26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2" spans="1:26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2" spans="1:26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2" spans="1:26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2" spans="1:26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2" spans="1:26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2" spans="1:26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2" spans="1:2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2" spans="1:26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2" spans="1:26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2" spans="1:26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2" spans="1:26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2" spans="1:26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2" spans="1:26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2" spans="1:26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2" spans="1:26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2" spans="1:26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2" spans="1:2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2" spans="1:26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2" spans="1:26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2" spans="1:26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2" spans="1:26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2" spans="1:26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2" spans="1:26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2" spans="1:26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2" spans="1:26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2" spans="1:26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2" spans="1: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2" spans="1:26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2" spans="1:26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2" spans="1:26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2" spans="1:26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2" spans="1:26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2" spans="1:26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2" spans="1:26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2" spans="1:26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2" spans="1:26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2" spans="1:2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2" spans="1:26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2" spans="1:26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2" spans="1:26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2" spans="1:26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2" spans="1:26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2" spans="1:26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2" spans="1:26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2" spans="1:26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2" spans="1:26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2" spans="1:2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2" spans="1:26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2" spans="1:26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2" spans="1:26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2" spans="1:26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2" spans="1:26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2" spans="1:26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2" spans="1:26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2" spans="1:26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2" spans="1:26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2" spans="1:2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2" spans="1:26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2" spans="1:26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2" spans="1:26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2" spans="1:26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2" spans="1:26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2" spans="1:26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2" spans="1:26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2" spans="1:26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2" spans="1:26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2" spans="1:2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2" spans="1:26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2" spans="1:26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2" spans="1:26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2" spans="1:26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2" spans="1:26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2" spans="1:26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2" spans="1:26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2" spans="1:26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2" spans="1:26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2" spans="1:2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2" spans="1:26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2" spans="1:26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2" spans="1:26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2" spans="1:26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2" spans="1:26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2" spans="1:26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2" spans="1:26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2" spans="1:26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2" spans="1:26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2" spans="1:2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2" spans="1:26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2" spans="1:26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2" spans="1:26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2" spans="1:26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2" spans="1:26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2" spans="1:26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2" spans="1:26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2" spans="1:26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2" spans="1:26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2" spans="1:2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2" spans="1:26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2" spans="1:26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2" spans="1:26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2" spans="1:26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2" spans="1:26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2" spans="1:26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2" spans="1:26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2" spans="1:26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2" spans="1:26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2" spans="1:2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2" spans="1:26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2" spans="1:26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2" spans="1:26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2" spans="1:26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2" spans="1:26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2" spans="1:26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2" spans="1:26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2" spans="1:26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2" spans="1:26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2" spans="1:2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2" spans="1:26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2" spans="1:26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2" spans="1:26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2" spans="1:26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2" spans="1:26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2" spans="1:26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2" spans="1:26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2" spans="1:26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2" spans="1:26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2" spans="1: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2" spans="1:26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2" spans="1:26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2" spans="1:26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2" spans="1:26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2" spans="1:26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2" spans="1:26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2" spans="1:26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2" spans="1:26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2" spans="1:26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2" spans="1:2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2" spans="1:26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2" spans="1:26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2" spans="1:26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2" spans="1:26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2" spans="1:26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2" spans="1:26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2" spans="1:26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2" spans="1:26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2" spans="1:26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2" spans="1:2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2" spans="1:26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2" spans="1:26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2" spans="1:26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2" spans="1:26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2" spans="1:26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2" spans="1:26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2" spans="1:26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2" spans="1:26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2" spans="1:26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2" spans="1:2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2" spans="1:26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2" spans="1:26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2" spans="1:26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2" spans="1:26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2" spans="1:26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2" spans="1:26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2" spans="1:26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2" spans="1:26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2" spans="1:26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2" spans="1:2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2" spans="1:26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2" spans="1:26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2" spans="1:26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2" spans="1:26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2" spans="1:26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2" spans="1:26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2" spans="1:26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2" spans="1:26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2" spans="1:26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2" spans="1:2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2" spans="1:26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2" spans="1:26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2" spans="1:26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2" spans="1:26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2" spans="1:26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2" spans="1:26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2" spans="1:26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2" spans="1:26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2" spans="1:26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2" spans="1:2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2" spans="1:26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2" spans="1:26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2" spans="1:26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2" spans="1:26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2" spans="1:26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2" spans="1:26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2" spans="1:26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2" spans="1:26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2" spans="1:26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2" spans="1:2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2" spans="1:26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2" spans="1:26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2" spans="1:26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2" spans="1:26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2" spans="1:26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2" spans="1:26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2" spans="1:26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2" spans="1:26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2" spans="1:26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2" spans="1:2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2" spans="1:26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2" spans="1:26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2" spans="1:26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2" spans="1:26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2" spans="1:26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2" spans="1:26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2" spans="1:26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2" spans="1:26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2" spans="1:26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2" spans="1:2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2" spans="1:26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2" spans="1:26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2" spans="1:26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2" spans="1:26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2" spans="1:26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2" spans="1:26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2" spans="1:26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2" spans="1:26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2" spans="1:26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2" spans="1: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2" spans="1:26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2" spans="1:26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2" spans="1:26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2" spans="1:26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2" spans="1:26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2" spans="1:26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2" spans="1:26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2" spans="1:26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2" spans="1:26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2" spans="1:2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2" spans="1:26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2" spans="1:26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2" spans="1:26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2" spans="1:26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2" spans="1:26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2" spans="1:26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2" spans="1:26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2" spans="1:26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2" spans="1:26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2" spans="1:2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2" spans="1:26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2" spans="1:26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2" spans="1:26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2" spans="1:26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2" spans="1:26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2" spans="1:26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2" spans="1:26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2" spans="1:26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2" spans="1:26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2" spans="1:2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2" spans="1:26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2" spans="1:26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2" spans="1:26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2" spans="1:26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2" spans="1:26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2" spans="1:26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2" spans="1:26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2" spans="1:26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2" spans="1:26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2" spans="1:2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2" spans="1:26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2" spans="1:26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2" spans="1:26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2" spans="1:26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2" spans="1:26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2" spans="1:26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2" spans="1:26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2" spans="1:26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2" spans="1:26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2" spans="1:2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2" spans="1:26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2" spans="1:26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2" spans="1:26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2" spans="1:26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2" spans="1:26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2" spans="1:26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2" spans="1:26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2" spans="1:26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2" spans="1:26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2" spans="1:2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2" spans="1:26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2" spans="1:26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2" spans="1:26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2" spans="1:26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2" spans="1:26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2" spans="1:26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2" spans="1:26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2" spans="1:26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2" spans="1:26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2" spans="1:2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2" spans="1:26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2" spans="1:26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2" spans="1:26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2" spans="1:26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2" spans="1:26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2" spans="1:26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2" spans="1:26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2" spans="1:26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2" spans="1:26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2" spans="1:2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2" spans="1:26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2" spans="1:26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2" spans="1:26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2" spans="1:26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2" spans="1:26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2" spans="1:26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2" spans="1:26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2" spans="1:26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2" spans="1:26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2" spans="1:2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2" spans="1:26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2" spans="1:26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2" spans="1:26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2" spans="1:26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2" spans="1:26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2" spans="1:26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2" spans="1:26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2" spans="1:26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2" spans="1:26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2" spans="1: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2" spans="1:26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2" spans="1:26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2" spans="1:26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2" spans="1:26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2" spans="1:26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2" spans="1:26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2" spans="1:26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2" spans="1:26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2" spans="1:26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2" spans="1:2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2" spans="1:26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2" spans="1:26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2" spans="1:26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2" spans="1:26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2" spans="1:26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2" spans="1:26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2" spans="1:26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2" spans="1:26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2" spans="1:26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2" spans="1:2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2" spans="1:26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2" spans="1:26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2" spans="1:26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2" spans="1:26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2" spans="1:26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2" spans="1:26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2" spans="1:26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2" spans="1:26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2" spans="1:26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2" spans="1:2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2" spans="1:26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2" spans="1:26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2" spans="1:26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2" spans="1:26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2" spans="1:26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2" spans="1:26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2" spans="1:26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2" spans="1:26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2" spans="1:26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2" spans="1:2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2" spans="1:26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2" spans="1:26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2" spans="1:26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2" spans="1:26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2" spans="1:26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2" spans="1:26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2" spans="1:26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2" spans="1:26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2" spans="1:26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2" spans="1:2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2" spans="1:26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2" spans="1:26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2" spans="1:26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2" spans="1:26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2" spans="1:26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2" spans="1:26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2" spans="1:26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2" spans="1:26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2" spans="1:26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2" spans="1:2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2" spans="1:26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2" spans="1:26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2" spans="1:26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2" spans="1:26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2" spans="1:26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2" spans="1:26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2" spans="1:26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2" spans="1:26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2" spans="1:26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2" spans="1:2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2" spans="1:26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2" spans="1:26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2" spans="1:26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2" spans="1:26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2" spans="1:26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2" spans="1:26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2" spans="1:26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2" spans="1:26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2" spans="1:26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2" spans="1:2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2" spans="1:26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2" spans="1:26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2" spans="1:26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2" spans="1:26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2" spans="1:26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2" spans="1:26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2" spans="1:26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2" spans="1:26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2" spans="1:26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2" spans="1:2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2" spans="1:26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2" spans="1:26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2" spans="1:26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2" spans="1:26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2" spans="1:26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2" spans="1:26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2" spans="1:26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2" spans="1:26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2" spans="1:26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2" spans="1: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2" spans="1:26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2" spans="1:26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2" spans="1:26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2" spans="1:26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2" spans="1:26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2" spans="1:26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2" spans="1:26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2" spans="1:26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2" spans="1:26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2" spans="1:2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2" spans="1:26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2" spans="1:26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2" spans="1:26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2" spans="1:26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2" spans="1:26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2" spans="1:26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2" spans="1:26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2" spans="1:26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2" spans="1:26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2" spans="1:2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2" spans="1:26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2" spans="1:26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2" spans="1:26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2" spans="1:26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2" spans="1:26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2" spans="1:26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2" spans="1:26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2" spans="1:26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2" spans="1:26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2" spans="1:2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2" spans="1:26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2" spans="1:26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2" spans="1:26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2" spans="1:26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2" spans="1:26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2" spans="1:26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2" spans="1:26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2" spans="1:26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2" spans="1:26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2" spans="1:2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2" spans="1:26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2" spans="1:26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2" spans="1:26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2" spans="1:26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2" spans="1:26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2" spans="1:26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2" spans="1:26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2" spans="1:26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2" spans="1:26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2" spans="1:2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2" spans="1:26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2" spans="1:26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2" spans="1:26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2" spans="1:26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2" spans="1:26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2" spans="1:26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2" spans="1:26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2" spans="1:26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2" spans="1:26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2" spans="1:2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2" spans="1:26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2" spans="1:26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2" spans="1:26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2" spans="1:26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2" spans="1:26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2" spans="1:26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2" spans="1:26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2" spans="1:26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2" spans="1:26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2" spans="1:2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2" spans="1:26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2" spans="1:26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2" spans="1:26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2" spans="1:26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3CC5"/>
    <outlinePr summaryBelow="0" summaryRight="0"/>
  </sheetPr>
  <dimension ref="B1:G994"/>
  <sheetViews>
    <sheetView showGridLines="0" zoomScale="112" zoomScaleNormal="112" topLeftCell="A3" workbookViewId="0">
      <selection activeCell="I11" sqref="I11"/>
    </sheetView>
  </sheetViews>
  <sheetFormatPr defaultColWidth="12.5740740740741" defaultRowHeight="15.75" customHeight="1" outlineLevelCol="6"/>
  <cols>
    <col min="1" max="1" width="5.13888888888889" customWidth="1"/>
    <col min="2" max="2" width="15.8518518518519" customWidth="1"/>
    <col min="3" max="3" width="38.287037037037" customWidth="1"/>
    <col min="4" max="4" width="28.4259259259259" customWidth="1"/>
    <col min="5" max="5" width="16.1388888888889" customWidth="1"/>
    <col min="6" max="6" width="20.1388888888889" customWidth="1"/>
    <col min="7" max="7" width="19.5740740740741" customWidth="1"/>
  </cols>
  <sheetData>
    <row r="1" ht="19.2" spans="2:7">
      <c r="B1" s="1"/>
      <c r="C1" s="2"/>
      <c r="D1" s="14"/>
      <c r="E1" s="14"/>
      <c r="F1" s="2"/>
      <c r="G1" s="2"/>
    </row>
    <row r="2" ht="19.2" spans="2:7">
      <c r="B2" s="38" t="s">
        <v>1</v>
      </c>
    </row>
    <row r="3" ht="13.2" spans="2:7">
      <c r="B3" s="4" t="s">
        <v>2</v>
      </c>
    </row>
    <row r="4" ht="13.2" spans="2:7">
      <c r="B4" s="2"/>
      <c r="C4" s="2"/>
      <c r="D4" s="14"/>
      <c r="E4" s="14"/>
      <c r="F4" s="2"/>
      <c r="G4" s="2"/>
    </row>
    <row r="5" ht="22.5" customHeight="1" spans="2:7">
      <c r="B5" s="16" t="s">
        <v>3</v>
      </c>
      <c r="C5" s="16" t="s">
        <v>4</v>
      </c>
      <c r="D5" s="17" t="s">
        <v>5</v>
      </c>
      <c r="E5" s="17" t="s">
        <v>6</v>
      </c>
      <c r="F5" s="17" t="s">
        <v>7</v>
      </c>
      <c r="G5" s="17" t="s">
        <v>8</v>
      </c>
    </row>
    <row r="6" ht="44.25" customHeight="1" spans="2:7">
      <c r="B6" s="39" t="s">
        <v>9</v>
      </c>
      <c r="C6" s="21" t="s">
        <v>10</v>
      </c>
      <c r="D6" s="17" t="s">
        <v>11</v>
      </c>
      <c r="E6" s="23">
        <v>1</v>
      </c>
      <c r="F6" s="31">
        <v>3200000</v>
      </c>
      <c r="G6" s="31">
        <v>3200000</v>
      </c>
    </row>
    <row r="7" ht="28.5" customHeight="1" spans="2:7">
      <c r="B7" s="40" t="s">
        <v>12</v>
      </c>
      <c r="C7" s="21" t="s">
        <v>13</v>
      </c>
      <c r="D7" s="23" t="s">
        <v>14</v>
      </c>
      <c r="E7" s="23">
        <v>1</v>
      </c>
      <c r="F7" s="31">
        <v>1800000</v>
      </c>
      <c r="G7" s="31">
        <v>1800000</v>
      </c>
    </row>
    <row r="8" ht="40.5" customHeight="1" spans="2:7">
      <c r="B8" s="40" t="s">
        <v>15</v>
      </c>
      <c r="C8" s="21" t="s">
        <v>16</v>
      </c>
      <c r="D8" s="23" t="s">
        <v>17</v>
      </c>
      <c r="E8" s="23">
        <v>1</v>
      </c>
      <c r="F8" s="31">
        <v>450000</v>
      </c>
      <c r="G8" s="31">
        <f t="shared" ref="G8:G18" si="0">F8*E8</f>
        <v>450000</v>
      </c>
    </row>
    <row r="9" ht="38.25" customHeight="1" spans="2:7">
      <c r="B9" s="40" t="s">
        <v>18</v>
      </c>
      <c r="C9" s="21" t="s">
        <v>19</v>
      </c>
      <c r="D9" s="23" t="s">
        <v>20</v>
      </c>
      <c r="E9" s="23">
        <v>1</v>
      </c>
      <c r="F9" s="31">
        <v>350000</v>
      </c>
      <c r="G9" s="31">
        <f t="shared" si="0"/>
        <v>350000</v>
      </c>
    </row>
    <row r="10" ht="39.75" customHeight="1" spans="2:7">
      <c r="B10" s="40" t="s">
        <v>21</v>
      </c>
      <c r="C10" s="21" t="s">
        <v>22</v>
      </c>
      <c r="D10" s="23" t="s">
        <v>23</v>
      </c>
      <c r="E10" s="23">
        <v>3</v>
      </c>
      <c r="F10" s="31">
        <v>680000</v>
      </c>
      <c r="G10" s="41" t="s">
        <v>24</v>
      </c>
    </row>
    <row r="11" ht="22.5" customHeight="1" spans="2:7">
      <c r="B11" s="40" t="s">
        <v>25</v>
      </c>
      <c r="C11" s="21" t="s">
        <v>26</v>
      </c>
      <c r="D11" s="23" t="s">
        <v>27</v>
      </c>
      <c r="E11" s="23">
        <v>12</v>
      </c>
      <c r="F11" s="31">
        <v>5000</v>
      </c>
      <c r="G11" s="31">
        <f t="shared" si="0"/>
        <v>60000</v>
      </c>
    </row>
    <row r="12" ht="26.25" customHeight="1" spans="2:7">
      <c r="B12" s="40" t="s">
        <v>28</v>
      </c>
      <c r="C12" s="21" t="s">
        <v>29</v>
      </c>
      <c r="D12" s="23" t="s">
        <v>30</v>
      </c>
      <c r="E12" s="23">
        <v>1</v>
      </c>
      <c r="F12" s="31">
        <v>0</v>
      </c>
      <c r="G12" s="31">
        <f t="shared" si="0"/>
        <v>0</v>
      </c>
    </row>
    <row r="13" ht="22.5" customHeight="1" spans="2:7">
      <c r="B13" s="40"/>
      <c r="C13" s="21"/>
      <c r="D13" s="23"/>
      <c r="E13" s="23"/>
      <c r="F13" s="31"/>
      <c r="G13" s="31">
        <f t="shared" si="0"/>
        <v>0</v>
      </c>
    </row>
    <row r="14" ht="22.5" customHeight="1" spans="2:7">
      <c r="B14" s="40"/>
      <c r="C14" s="21"/>
      <c r="D14" s="23"/>
      <c r="E14" s="23"/>
      <c r="F14" s="31"/>
      <c r="G14" s="31">
        <f t="shared" si="0"/>
        <v>0</v>
      </c>
    </row>
    <row r="15" ht="22.5" customHeight="1" spans="2:7">
      <c r="B15" s="40"/>
      <c r="C15" s="21"/>
      <c r="D15" s="23"/>
      <c r="E15" s="23"/>
      <c r="F15" s="31"/>
      <c r="G15" s="31">
        <f t="shared" si="0"/>
        <v>0</v>
      </c>
    </row>
    <row r="16" ht="22.5" customHeight="1" spans="2:7">
      <c r="B16" s="40"/>
      <c r="C16" s="21"/>
      <c r="D16" s="23"/>
      <c r="E16" s="23"/>
      <c r="F16" s="31"/>
      <c r="G16" s="31">
        <f t="shared" si="0"/>
        <v>0</v>
      </c>
    </row>
    <row r="17" ht="22.5" customHeight="1" spans="2:7">
      <c r="B17" s="40"/>
      <c r="C17" s="21"/>
      <c r="D17" s="23"/>
      <c r="E17" s="23"/>
      <c r="F17" s="31"/>
      <c r="G17" s="31">
        <f t="shared" si="0"/>
        <v>0</v>
      </c>
    </row>
    <row r="18" ht="22.5" customHeight="1" spans="2:7">
      <c r="B18" s="40"/>
      <c r="C18" s="21"/>
      <c r="D18" s="23"/>
      <c r="E18" s="23"/>
      <c r="F18" s="31"/>
      <c r="G18" s="31">
        <f t="shared" si="0"/>
        <v>0</v>
      </c>
    </row>
    <row r="19" ht="22.5" customHeight="1" spans="2:7">
      <c r="B19" s="42" t="s">
        <v>31</v>
      </c>
      <c r="C19" s="43"/>
      <c r="D19" s="44"/>
      <c r="E19" s="44"/>
      <c r="F19" s="45"/>
      <c r="G19" s="45">
        <f>SUM(G6:G18)</f>
        <v>5860000</v>
      </c>
    </row>
    <row r="20" ht="13.2" spans="2:7">
      <c r="D20" s="14"/>
      <c r="E20" s="14"/>
    </row>
    <row r="21" ht="13.2" spans="2:7">
      <c r="D21" s="14"/>
      <c r="E21" s="14"/>
    </row>
    <row r="22" ht="13.2" spans="2:7">
      <c r="D22" s="14"/>
      <c r="E22" s="14"/>
    </row>
    <row r="23" ht="13.2" spans="2:7">
      <c r="D23" s="14"/>
      <c r="E23" s="14"/>
    </row>
    <row r="24" ht="13.2" spans="2:7">
      <c r="D24" s="14"/>
      <c r="E24" s="14"/>
    </row>
    <row r="25" ht="13.2" spans="2:7">
      <c r="D25" s="14"/>
      <c r="E25" s="14"/>
    </row>
    <row r="26" ht="13.2" spans="2:7">
      <c r="D26" s="14"/>
      <c r="E26" s="14"/>
    </row>
    <row r="27" ht="13.2" spans="2:7">
      <c r="D27" s="14"/>
      <c r="E27" s="14"/>
    </row>
    <row r="28" ht="13.2" spans="2:7">
      <c r="D28" s="14"/>
      <c r="E28" s="14"/>
    </row>
    <row r="29" ht="13.2" spans="2:7">
      <c r="D29" s="14"/>
      <c r="E29" s="14"/>
    </row>
    <row r="30" ht="13.2" spans="2:7">
      <c r="D30" s="14"/>
      <c r="E30" s="14"/>
    </row>
    <row r="31" ht="13.2" spans="2:7">
      <c r="D31" s="14"/>
      <c r="E31" s="14"/>
    </row>
    <row r="32" ht="13.2" spans="2:7">
      <c r="D32" s="14"/>
      <c r="E32" s="14"/>
    </row>
    <row r="33" ht="13.2" spans="4:5">
      <c r="D33" s="14"/>
      <c r="E33" s="14"/>
    </row>
    <row r="34" ht="13.2" spans="4:5">
      <c r="D34" s="14"/>
      <c r="E34" s="14"/>
    </row>
    <row r="35" ht="13.2" spans="4:5">
      <c r="D35" s="14"/>
      <c r="E35" s="14"/>
    </row>
    <row r="36" ht="13.2" spans="4:5">
      <c r="D36" s="14"/>
      <c r="E36" s="14"/>
    </row>
    <row r="37" ht="13.2" spans="4:5">
      <c r="D37" s="14"/>
      <c r="E37" s="14"/>
    </row>
    <row r="38" ht="13.2" spans="4:5">
      <c r="D38" s="14"/>
      <c r="E38" s="14"/>
    </row>
    <row r="39" ht="13.2" spans="4:5">
      <c r="D39" s="14"/>
      <c r="E39" s="14"/>
    </row>
    <row r="40" ht="13.2" spans="4:5">
      <c r="D40" s="14"/>
      <c r="E40" s="14"/>
    </row>
    <row r="41" ht="13.2" spans="4:5">
      <c r="D41" s="14"/>
      <c r="E41" s="14"/>
    </row>
    <row r="42" ht="13.2" spans="4:5">
      <c r="D42" s="14"/>
      <c r="E42" s="14"/>
    </row>
    <row r="43" ht="13.2" spans="4:5">
      <c r="D43" s="14"/>
      <c r="E43" s="14"/>
    </row>
    <row r="44" ht="13.2" spans="4:5">
      <c r="D44" s="14"/>
      <c r="E44" s="14"/>
    </row>
    <row r="45" ht="13.2" spans="4:5">
      <c r="D45" s="14"/>
      <c r="E45" s="14"/>
    </row>
    <row r="46" ht="13.2" spans="4:5">
      <c r="D46" s="14"/>
      <c r="E46" s="14"/>
    </row>
    <row r="47" ht="13.2" spans="4:5">
      <c r="D47" s="14"/>
      <c r="E47" s="14"/>
    </row>
    <row r="48" ht="13.2" spans="4:5">
      <c r="D48" s="14"/>
      <c r="E48" s="14"/>
    </row>
    <row r="49" ht="13.2" spans="4:5">
      <c r="D49" s="14"/>
      <c r="E49" s="14"/>
    </row>
    <row r="50" ht="13.2" spans="4:5">
      <c r="D50" s="14"/>
      <c r="E50" s="14"/>
    </row>
    <row r="51" ht="13.2" spans="4:5">
      <c r="D51" s="14"/>
      <c r="E51" s="14"/>
    </row>
    <row r="52" ht="13.2" spans="4:5">
      <c r="D52" s="14"/>
      <c r="E52" s="14"/>
    </row>
    <row r="53" ht="13.2" spans="4:5">
      <c r="D53" s="14"/>
      <c r="E53" s="14"/>
    </row>
    <row r="54" ht="13.2" spans="4:5">
      <c r="D54" s="14"/>
      <c r="E54" s="14"/>
    </row>
    <row r="55" ht="13.2" spans="4:5">
      <c r="D55" s="14"/>
      <c r="E55" s="14"/>
    </row>
    <row r="56" ht="13.2" spans="4:5">
      <c r="D56" s="14"/>
      <c r="E56" s="14"/>
    </row>
    <row r="57" ht="13.2" spans="4:5">
      <c r="D57" s="14"/>
      <c r="E57" s="14"/>
    </row>
    <row r="58" ht="13.2" spans="4:5">
      <c r="D58" s="14"/>
      <c r="E58" s="14"/>
    </row>
    <row r="59" ht="13.2" spans="4:5">
      <c r="D59" s="14"/>
      <c r="E59" s="14"/>
    </row>
    <row r="60" ht="13.2" spans="4:5">
      <c r="D60" s="14"/>
      <c r="E60" s="14"/>
    </row>
    <row r="61" ht="13.2" spans="4:5">
      <c r="D61" s="14"/>
      <c r="E61" s="14"/>
    </row>
    <row r="62" ht="13.2" spans="4:5">
      <c r="D62" s="14"/>
      <c r="E62" s="14"/>
    </row>
    <row r="63" ht="13.2" spans="4:5">
      <c r="D63" s="14"/>
      <c r="E63" s="14"/>
    </row>
    <row r="64" ht="13.2" spans="4:5">
      <c r="D64" s="14"/>
      <c r="E64" s="14"/>
    </row>
    <row r="65" ht="13.2" spans="4:5">
      <c r="D65" s="14"/>
      <c r="E65" s="14"/>
    </row>
    <row r="66" ht="13.2" spans="4:5">
      <c r="D66" s="14"/>
      <c r="E66" s="14"/>
    </row>
    <row r="67" ht="13.2" spans="4:5">
      <c r="D67" s="14"/>
      <c r="E67" s="14"/>
    </row>
    <row r="68" ht="13.2" spans="4:5">
      <c r="D68" s="14"/>
      <c r="E68" s="14"/>
    </row>
    <row r="69" ht="13.2" spans="4:5">
      <c r="D69" s="14"/>
      <c r="E69" s="14"/>
    </row>
    <row r="70" ht="13.2" spans="4:5">
      <c r="D70" s="14"/>
      <c r="E70" s="14"/>
    </row>
    <row r="71" ht="13.2" spans="4:5">
      <c r="D71" s="14"/>
      <c r="E71" s="14"/>
    </row>
    <row r="72" ht="13.2" spans="4:5">
      <c r="D72" s="14"/>
      <c r="E72" s="14"/>
    </row>
    <row r="73" ht="13.2" spans="4:5">
      <c r="D73" s="14"/>
      <c r="E73" s="14"/>
    </row>
    <row r="74" ht="13.2" spans="4:5">
      <c r="D74" s="14"/>
      <c r="E74" s="14"/>
    </row>
    <row r="75" ht="13.2" spans="4:5">
      <c r="D75" s="14"/>
      <c r="E75" s="14"/>
    </row>
    <row r="76" ht="13.2" spans="4:5">
      <c r="D76" s="14"/>
      <c r="E76" s="14"/>
    </row>
    <row r="77" ht="13.2" spans="4:5">
      <c r="D77" s="14"/>
      <c r="E77" s="14"/>
    </row>
    <row r="78" ht="13.2" spans="4:5">
      <c r="D78" s="14"/>
      <c r="E78" s="14"/>
    </row>
    <row r="79" ht="13.2" spans="4:5">
      <c r="D79" s="14"/>
      <c r="E79" s="14"/>
    </row>
    <row r="80" ht="13.2" spans="4:5">
      <c r="D80" s="14"/>
      <c r="E80" s="14"/>
    </row>
    <row r="81" ht="13.2" spans="4:5">
      <c r="D81" s="14"/>
      <c r="E81" s="14"/>
    </row>
    <row r="82" ht="13.2" spans="4:5">
      <c r="D82" s="14"/>
      <c r="E82" s="14"/>
    </row>
    <row r="83" ht="13.2" spans="4:5">
      <c r="D83" s="14"/>
      <c r="E83" s="14"/>
    </row>
    <row r="84" ht="13.2" spans="4:5">
      <c r="D84" s="14"/>
      <c r="E84" s="14"/>
    </row>
    <row r="85" ht="13.2" spans="4:5">
      <c r="D85" s="14"/>
      <c r="E85" s="14"/>
    </row>
    <row r="86" ht="13.2" spans="4:5">
      <c r="D86" s="14"/>
      <c r="E86" s="14"/>
    </row>
    <row r="87" ht="13.2" spans="4:5">
      <c r="D87" s="14"/>
      <c r="E87" s="14"/>
    </row>
    <row r="88" ht="13.2" spans="4:5">
      <c r="D88" s="14"/>
      <c r="E88" s="14"/>
    </row>
    <row r="89" ht="13.2" spans="4:5">
      <c r="D89" s="14"/>
      <c r="E89" s="14"/>
    </row>
    <row r="90" ht="13.2" spans="4:5">
      <c r="D90" s="14"/>
      <c r="E90" s="14"/>
    </row>
    <row r="91" ht="13.2" spans="4:5">
      <c r="D91" s="14"/>
      <c r="E91" s="14"/>
    </row>
    <row r="92" ht="13.2" spans="4:5">
      <c r="D92" s="14"/>
      <c r="E92" s="14"/>
    </row>
    <row r="93" ht="13.2" spans="4:5">
      <c r="D93" s="14"/>
      <c r="E93" s="14"/>
    </row>
    <row r="94" ht="13.2" spans="4:5">
      <c r="D94" s="14"/>
      <c r="E94" s="14"/>
    </row>
    <row r="95" ht="13.2" spans="4:5">
      <c r="D95" s="14"/>
      <c r="E95" s="14"/>
    </row>
    <row r="96" ht="13.2" spans="4:5">
      <c r="D96" s="14"/>
      <c r="E96" s="14"/>
    </row>
    <row r="97" ht="13.2" spans="4:5">
      <c r="D97" s="14"/>
      <c r="E97" s="14"/>
    </row>
    <row r="98" ht="13.2" spans="4:5">
      <c r="D98" s="14"/>
      <c r="E98" s="14"/>
    </row>
    <row r="99" ht="13.2" spans="4:5">
      <c r="D99" s="14"/>
      <c r="E99" s="14"/>
    </row>
    <row r="100" ht="13.2" spans="4:5">
      <c r="D100" s="14"/>
      <c r="E100" s="14"/>
    </row>
    <row r="101" ht="13.2" spans="4:5">
      <c r="D101" s="14"/>
      <c r="E101" s="14"/>
    </row>
    <row r="102" ht="13.2" spans="4:5">
      <c r="D102" s="14"/>
      <c r="E102" s="14"/>
    </row>
    <row r="103" ht="13.2" spans="4:5">
      <c r="D103" s="14"/>
      <c r="E103" s="14"/>
    </row>
    <row r="104" ht="13.2" spans="4:5">
      <c r="D104" s="14"/>
      <c r="E104" s="14"/>
    </row>
    <row r="105" ht="13.2" spans="4:5">
      <c r="D105" s="14"/>
      <c r="E105" s="14"/>
    </row>
    <row r="106" ht="13.2" spans="4:5">
      <c r="D106" s="14"/>
      <c r="E106" s="14"/>
    </row>
    <row r="107" ht="13.2" spans="4:5">
      <c r="D107" s="14"/>
      <c r="E107" s="14"/>
    </row>
    <row r="108" ht="13.2" spans="4:5">
      <c r="D108" s="14"/>
      <c r="E108" s="14"/>
    </row>
    <row r="109" ht="13.2" spans="4:5">
      <c r="D109" s="14"/>
      <c r="E109" s="14"/>
    </row>
    <row r="110" ht="13.2" spans="4:5">
      <c r="D110" s="14"/>
      <c r="E110" s="14"/>
    </row>
    <row r="111" ht="13.2" spans="4:5">
      <c r="D111" s="14"/>
      <c r="E111" s="14"/>
    </row>
    <row r="112" ht="13.2" spans="4:5">
      <c r="D112" s="14"/>
      <c r="E112" s="14"/>
    </row>
    <row r="113" ht="13.2" spans="4:5">
      <c r="D113" s="14"/>
      <c r="E113" s="14"/>
    </row>
    <row r="114" ht="13.2" spans="4:5">
      <c r="D114" s="14"/>
      <c r="E114" s="14"/>
    </row>
    <row r="115" ht="13.2" spans="4:5">
      <c r="D115" s="14"/>
      <c r="E115" s="14"/>
    </row>
    <row r="116" ht="13.2" spans="4:5">
      <c r="D116" s="14"/>
      <c r="E116" s="14"/>
    </row>
    <row r="117" ht="13.2" spans="4:5">
      <c r="D117" s="14"/>
      <c r="E117" s="14"/>
    </row>
    <row r="118" ht="13.2" spans="4:5">
      <c r="D118" s="14"/>
      <c r="E118" s="14"/>
    </row>
    <row r="119" ht="13.2" spans="4:5">
      <c r="D119" s="14"/>
      <c r="E119" s="14"/>
    </row>
    <row r="120" ht="13.2" spans="4:5">
      <c r="D120" s="14"/>
      <c r="E120" s="14"/>
    </row>
    <row r="121" ht="13.2" spans="4:5">
      <c r="D121" s="14"/>
      <c r="E121" s="14"/>
    </row>
    <row r="122" ht="13.2" spans="4:5">
      <c r="D122" s="14"/>
      <c r="E122" s="14"/>
    </row>
    <row r="123" ht="13.2" spans="4:5">
      <c r="D123" s="14"/>
      <c r="E123" s="14"/>
    </row>
    <row r="124" ht="13.2" spans="4:5">
      <c r="D124" s="14"/>
      <c r="E124" s="14"/>
    </row>
    <row r="125" ht="13.2" spans="4:5">
      <c r="D125" s="14"/>
      <c r="E125" s="14"/>
    </row>
    <row r="126" ht="13.2" spans="4:5">
      <c r="D126" s="14"/>
      <c r="E126" s="14"/>
    </row>
    <row r="127" ht="13.2" spans="4:5">
      <c r="D127" s="14"/>
      <c r="E127" s="14"/>
    </row>
    <row r="128" ht="13.2" spans="4:5">
      <c r="D128" s="14"/>
      <c r="E128" s="14"/>
    </row>
    <row r="129" ht="13.2" spans="4:5">
      <c r="D129" s="14"/>
      <c r="E129" s="14"/>
    </row>
    <row r="130" ht="13.2" spans="4:5">
      <c r="D130" s="14"/>
      <c r="E130" s="14"/>
    </row>
    <row r="131" ht="13.2" spans="4:5">
      <c r="D131" s="14"/>
      <c r="E131" s="14"/>
    </row>
    <row r="132" ht="13.2" spans="4:5">
      <c r="D132" s="14"/>
      <c r="E132" s="14"/>
    </row>
    <row r="133" ht="13.2" spans="4:5">
      <c r="D133" s="14"/>
      <c r="E133" s="14"/>
    </row>
    <row r="134" ht="13.2" spans="4:5">
      <c r="D134" s="14"/>
      <c r="E134" s="14"/>
    </row>
    <row r="135" ht="13.2" spans="4:5">
      <c r="D135" s="14"/>
      <c r="E135" s="14"/>
    </row>
    <row r="136" ht="13.2" spans="4:5">
      <c r="D136" s="14"/>
      <c r="E136" s="14"/>
    </row>
    <row r="137" ht="13.2" spans="4:5">
      <c r="D137" s="14"/>
      <c r="E137" s="14"/>
    </row>
    <row r="138" ht="13.2" spans="4:5">
      <c r="D138" s="14"/>
      <c r="E138" s="14"/>
    </row>
    <row r="139" ht="13.2" spans="4:5">
      <c r="D139" s="14"/>
      <c r="E139" s="14"/>
    </row>
    <row r="140" ht="13.2" spans="4:5">
      <c r="D140" s="14"/>
      <c r="E140" s="14"/>
    </row>
    <row r="141" ht="13.2" spans="4:5">
      <c r="D141" s="14"/>
      <c r="E141" s="14"/>
    </row>
    <row r="142" ht="13.2" spans="4:5">
      <c r="D142" s="14"/>
      <c r="E142" s="14"/>
    </row>
    <row r="143" ht="13.2" spans="4:5">
      <c r="D143" s="14"/>
      <c r="E143" s="14"/>
    </row>
    <row r="144" ht="13.2" spans="4:5">
      <c r="D144" s="14"/>
      <c r="E144" s="14"/>
    </row>
    <row r="145" ht="13.2" spans="4:5">
      <c r="D145" s="14"/>
      <c r="E145" s="14"/>
    </row>
    <row r="146" ht="13.2" spans="4:5">
      <c r="D146" s="14"/>
      <c r="E146" s="14"/>
    </row>
    <row r="147" ht="13.2" spans="4:5">
      <c r="D147" s="14"/>
      <c r="E147" s="14"/>
    </row>
    <row r="148" ht="13.2" spans="4:5">
      <c r="D148" s="14"/>
      <c r="E148" s="14"/>
    </row>
    <row r="149" ht="13.2" spans="4:5">
      <c r="D149" s="14"/>
      <c r="E149" s="14"/>
    </row>
    <row r="150" ht="13.2" spans="4:5">
      <c r="D150" s="14"/>
      <c r="E150" s="14"/>
    </row>
    <row r="151" ht="13.2" spans="4:5">
      <c r="D151" s="14"/>
      <c r="E151" s="14"/>
    </row>
    <row r="152" ht="13.2" spans="4:5">
      <c r="D152" s="14"/>
      <c r="E152" s="14"/>
    </row>
    <row r="153" ht="13.2" spans="4:5">
      <c r="D153" s="14"/>
      <c r="E153" s="14"/>
    </row>
    <row r="154" ht="13.2" spans="4:5">
      <c r="D154" s="14"/>
      <c r="E154" s="14"/>
    </row>
    <row r="155" ht="13.2" spans="4:5">
      <c r="D155" s="14"/>
      <c r="E155" s="14"/>
    </row>
    <row r="156" ht="13.2" spans="4:5">
      <c r="D156" s="14"/>
      <c r="E156" s="14"/>
    </row>
    <row r="157" ht="13.2" spans="4:5">
      <c r="D157" s="14"/>
      <c r="E157" s="14"/>
    </row>
    <row r="158" ht="13.2" spans="4:5">
      <c r="D158" s="14"/>
      <c r="E158" s="14"/>
    </row>
    <row r="159" ht="13.2" spans="4:5">
      <c r="D159" s="14"/>
      <c r="E159" s="14"/>
    </row>
    <row r="160" ht="13.2" spans="4:5">
      <c r="D160" s="14"/>
      <c r="E160" s="14"/>
    </row>
    <row r="161" ht="13.2" spans="4:5">
      <c r="D161" s="14"/>
      <c r="E161" s="14"/>
    </row>
    <row r="162" ht="13.2" spans="4:5">
      <c r="D162" s="14"/>
      <c r="E162" s="14"/>
    </row>
    <row r="163" ht="13.2" spans="4:5">
      <c r="D163" s="14"/>
      <c r="E163" s="14"/>
    </row>
    <row r="164" ht="13.2" spans="4:5">
      <c r="D164" s="14"/>
      <c r="E164" s="14"/>
    </row>
    <row r="165" ht="13.2" spans="4:5">
      <c r="D165" s="14"/>
      <c r="E165" s="14"/>
    </row>
    <row r="166" ht="13.2" spans="4:5">
      <c r="D166" s="14"/>
      <c r="E166" s="14"/>
    </row>
    <row r="167" ht="13.2" spans="4:5">
      <c r="D167" s="14"/>
      <c r="E167" s="14"/>
    </row>
    <row r="168" ht="13.2" spans="4:5">
      <c r="D168" s="14"/>
      <c r="E168" s="14"/>
    </row>
    <row r="169" ht="13.2" spans="4:5">
      <c r="D169" s="14"/>
      <c r="E169" s="14"/>
    </row>
    <row r="170" ht="13.2" spans="4:5">
      <c r="D170" s="14"/>
      <c r="E170" s="14"/>
    </row>
    <row r="171" ht="13.2" spans="4:5">
      <c r="D171" s="14"/>
      <c r="E171" s="14"/>
    </row>
    <row r="172" ht="13.2" spans="4:5">
      <c r="D172" s="14"/>
      <c r="E172" s="14"/>
    </row>
    <row r="173" ht="13.2" spans="4:5">
      <c r="D173" s="14"/>
      <c r="E173" s="14"/>
    </row>
    <row r="174" ht="13.2" spans="4:5">
      <c r="D174" s="14"/>
      <c r="E174" s="14"/>
    </row>
    <row r="175" ht="13.2" spans="4:5">
      <c r="D175" s="14"/>
      <c r="E175" s="14"/>
    </row>
    <row r="176" ht="13.2" spans="4:5">
      <c r="D176" s="14"/>
      <c r="E176" s="14"/>
    </row>
    <row r="177" ht="13.2" spans="4:5">
      <c r="D177" s="14"/>
      <c r="E177" s="14"/>
    </row>
    <row r="178" ht="13.2" spans="4:5">
      <c r="D178" s="14"/>
      <c r="E178" s="14"/>
    </row>
    <row r="179" ht="13.2" spans="4:5">
      <c r="D179" s="14"/>
      <c r="E179" s="14"/>
    </row>
    <row r="180" ht="13.2" spans="4:5">
      <c r="D180" s="14"/>
      <c r="E180" s="14"/>
    </row>
    <row r="181" ht="13.2" spans="4:5">
      <c r="D181" s="14"/>
      <c r="E181" s="14"/>
    </row>
    <row r="182" ht="13.2" spans="4:5">
      <c r="D182" s="14"/>
      <c r="E182" s="14"/>
    </row>
    <row r="183" ht="13.2" spans="4:5">
      <c r="D183" s="14"/>
      <c r="E183" s="14"/>
    </row>
    <row r="184" ht="13.2" spans="4:5">
      <c r="D184" s="14"/>
      <c r="E184" s="14"/>
    </row>
    <row r="185" ht="13.2" spans="4:5">
      <c r="D185" s="14"/>
      <c r="E185" s="14"/>
    </row>
    <row r="186" ht="13.2" spans="4:5">
      <c r="D186" s="14"/>
      <c r="E186" s="14"/>
    </row>
    <row r="187" ht="13.2" spans="4:5">
      <c r="D187" s="14"/>
      <c r="E187" s="14"/>
    </row>
    <row r="188" ht="13.2" spans="4:5">
      <c r="D188" s="14"/>
      <c r="E188" s="14"/>
    </row>
    <row r="189" ht="13.2" spans="4:5">
      <c r="D189" s="14"/>
      <c r="E189" s="14"/>
    </row>
    <row r="190" ht="13.2" spans="4:5">
      <c r="D190" s="14"/>
      <c r="E190" s="14"/>
    </row>
    <row r="191" ht="13.2" spans="4:5">
      <c r="D191" s="14"/>
      <c r="E191" s="14"/>
    </row>
    <row r="192" ht="13.2" spans="4:5">
      <c r="D192" s="14"/>
      <c r="E192" s="14"/>
    </row>
    <row r="193" ht="13.2" spans="4:5">
      <c r="D193" s="14"/>
      <c r="E193" s="14"/>
    </row>
    <row r="194" ht="13.2" spans="4:5">
      <c r="D194" s="14"/>
      <c r="E194" s="14"/>
    </row>
    <row r="195" ht="13.2" spans="4:5">
      <c r="D195" s="14"/>
      <c r="E195" s="14"/>
    </row>
    <row r="196" ht="13.2" spans="4:5">
      <c r="D196" s="14"/>
      <c r="E196" s="14"/>
    </row>
    <row r="197" ht="13.2" spans="4:5">
      <c r="D197" s="14"/>
      <c r="E197" s="14"/>
    </row>
    <row r="198" ht="13.2" spans="4:5">
      <c r="D198" s="14"/>
      <c r="E198" s="14"/>
    </row>
    <row r="199" ht="13.2" spans="4:5">
      <c r="D199" s="14"/>
      <c r="E199" s="14"/>
    </row>
    <row r="200" ht="13.2" spans="4:5">
      <c r="D200" s="14"/>
      <c r="E200" s="14"/>
    </row>
    <row r="201" ht="13.2" spans="4:5">
      <c r="D201" s="14"/>
      <c r="E201" s="14"/>
    </row>
    <row r="202" ht="13.2" spans="4:5">
      <c r="D202" s="14"/>
      <c r="E202" s="14"/>
    </row>
    <row r="203" ht="13.2" spans="4:5">
      <c r="D203" s="14"/>
      <c r="E203" s="14"/>
    </row>
    <row r="204" ht="13.2" spans="4:5">
      <c r="D204" s="14"/>
      <c r="E204" s="14"/>
    </row>
    <row r="205" ht="13.2" spans="4:5">
      <c r="D205" s="14"/>
      <c r="E205" s="14"/>
    </row>
    <row r="206" ht="13.2" spans="4:5">
      <c r="D206" s="14"/>
      <c r="E206" s="14"/>
    </row>
    <row r="207" ht="13.2" spans="4:5">
      <c r="D207" s="14"/>
      <c r="E207" s="14"/>
    </row>
    <row r="208" ht="13.2" spans="4:5">
      <c r="D208" s="14"/>
      <c r="E208" s="14"/>
    </row>
    <row r="209" ht="13.2" spans="4:5">
      <c r="D209" s="14"/>
      <c r="E209" s="14"/>
    </row>
    <row r="210" ht="13.2" spans="4:5">
      <c r="D210" s="14"/>
      <c r="E210" s="14"/>
    </row>
    <row r="211" ht="13.2" spans="4:5">
      <c r="D211" s="14"/>
      <c r="E211" s="14"/>
    </row>
    <row r="212" ht="13.2" spans="4:5">
      <c r="D212" s="14"/>
      <c r="E212" s="14"/>
    </row>
    <row r="213" ht="13.2" spans="4:5">
      <c r="D213" s="14"/>
      <c r="E213" s="14"/>
    </row>
    <row r="214" ht="13.2" spans="4:5">
      <c r="D214" s="14"/>
      <c r="E214" s="14"/>
    </row>
    <row r="215" ht="13.2" spans="4:5">
      <c r="D215" s="14"/>
      <c r="E215" s="14"/>
    </row>
    <row r="216" ht="13.2" spans="4:5">
      <c r="D216" s="14"/>
      <c r="E216" s="14"/>
    </row>
    <row r="217" ht="13.2" spans="4:5">
      <c r="D217" s="14"/>
      <c r="E217" s="14"/>
    </row>
    <row r="218" ht="13.2" spans="4:5">
      <c r="D218" s="14"/>
      <c r="E218" s="14"/>
    </row>
    <row r="219" ht="13.2" spans="4:5">
      <c r="D219" s="14"/>
      <c r="E219" s="14"/>
    </row>
    <row r="220" ht="13.2" spans="4:5">
      <c r="D220" s="14"/>
      <c r="E220" s="14"/>
    </row>
    <row r="221" ht="13.2" spans="4:5">
      <c r="D221" s="14"/>
      <c r="E221" s="14"/>
    </row>
    <row r="222" ht="13.2" spans="4:5">
      <c r="D222" s="14"/>
      <c r="E222" s="14"/>
    </row>
    <row r="223" ht="13.2" spans="4:5">
      <c r="D223" s="14"/>
      <c r="E223" s="14"/>
    </row>
    <row r="224" ht="13.2" spans="4:5">
      <c r="D224" s="14"/>
      <c r="E224" s="14"/>
    </row>
    <row r="225" ht="13.2" spans="4:5">
      <c r="D225" s="14"/>
      <c r="E225" s="14"/>
    </row>
    <row r="226" ht="13.2" spans="4:5">
      <c r="D226" s="14"/>
      <c r="E226" s="14"/>
    </row>
    <row r="227" ht="13.2" spans="4:5">
      <c r="D227" s="14"/>
      <c r="E227" s="14"/>
    </row>
    <row r="228" ht="13.2" spans="4:5">
      <c r="D228" s="14"/>
      <c r="E228" s="14"/>
    </row>
    <row r="229" ht="13.2" spans="4:5">
      <c r="D229" s="14"/>
      <c r="E229" s="14"/>
    </row>
    <row r="230" ht="13.2" spans="4:5">
      <c r="D230" s="14"/>
      <c r="E230" s="14"/>
    </row>
    <row r="231" ht="13.2" spans="4:5">
      <c r="D231" s="14"/>
      <c r="E231" s="14"/>
    </row>
    <row r="232" ht="13.2" spans="4:5">
      <c r="D232" s="14"/>
      <c r="E232" s="14"/>
    </row>
    <row r="233" ht="13.2" spans="4:5">
      <c r="D233" s="14"/>
      <c r="E233" s="14"/>
    </row>
    <row r="234" ht="13.2" spans="4:5">
      <c r="D234" s="14"/>
      <c r="E234" s="14"/>
    </row>
    <row r="235" ht="13.2" spans="4:5">
      <c r="D235" s="14"/>
      <c r="E235" s="14"/>
    </row>
    <row r="236" ht="13.2" spans="4:5">
      <c r="D236" s="14"/>
      <c r="E236" s="14"/>
    </row>
    <row r="237" ht="13.2" spans="4:5">
      <c r="D237" s="14"/>
      <c r="E237" s="14"/>
    </row>
    <row r="238" ht="13.2" spans="4:5">
      <c r="D238" s="14"/>
      <c r="E238" s="14"/>
    </row>
    <row r="239" ht="13.2" spans="4:5">
      <c r="D239" s="14"/>
      <c r="E239" s="14"/>
    </row>
    <row r="240" ht="13.2" spans="4:5">
      <c r="D240" s="14"/>
      <c r="E240" s="14"/>
    </row>
    <row r="241" ht="13.2" spans="4:5">
      <c r="D241" s="14"/>
      <c r="E241" s="14"/>
    </row>
    <row r="242" ht="13.2" spans="4:5">
      <c r="D242" s="14"/>
      <c r="E242" s="14"/>
    </row>
    <row r="243" ht="13.2" spans="4:5">
      <c r="D243" s="14"/>
      <c r="E243" s="14"/>
    </row>
    <row r="244" ht="13.2" spans="4:5">
      <c r="D244" s="14"/>
      <c r="E244" s="14"/>
    </row>
    <row r="245" ht="13.2" spans="4:5">
      <c r="D245" s="14"/>
      <c r="E245" s="14"/>
    </row>
    <row r="246" ht="13.2" spans="4:5">
      <c r="D246" s="14"/>
      <c r="E246" s="14"/>
    </row>
    <row r="247" ht="13.2" spans="4:5">
      <c r="D247" s="14"/>
      <c r="E247" s="14"/>
    </row>
    <row r="248" ht="13.2" spans="4:5">
      <c r="D248" s="14"/>
      <c r="E248" s="14"/>
    </row>
    <row r="249" ht="13.2" spans="4:5">
      <c r="D249" s="14"/>
      <c r="E249" s="14"/>
    </row>
    <row r="250" ht="13.2" spans="4:5">
      <c r="D250" s="14"/>
      <c r="E250" s="14"/>
    </row>
    <row r="251" ht="13.2" spans="4:5">
      <c r="D251" s="14"/>
      <c r="E251" s="14"/>
    </row>
    <row r="252" ht="13.2" spans="4:5">
      <c r="D252" s="14"/>
      <c r="E252" s="14"/>
    </row>
    <row r="253" ht="13.2" spans="4:5">
      <c r="D253" s="14"/>
      <c r="E253" s="14"/>
    </row>
    <row r="254" ht="13.2" spans="4:5">
      <c r="D254" s="14"/>
      <c r="E254" s="14"/>
    </row>
    <row r="255" ht="13.2" spans="4:5">
      <c r="D255" s="14"/>
      <c r="E255" s="14"/>
    </row>
    <row r="256" ht="13.2" spans="4:5">
      <c r="D256" s="14"/>
      <c r="E256" s="14"/>
    </row>
    <row r="257" ht="13.2" spans="4:5">
      <c r="D257" s="14"/>
      <c r="E257" s="14"/>
    </row>
    <row r="258" ht="13.2" spans="4:5">
      <c r="D258" s="14"/>
      <c r="E258" s="14"/>
    </row>
    <row r="259" ht="13.2" spans="4:5">
      <c r="D259" s="14"/>
      <c r="E259" s="14"/>
    </row>
    <row r="260" ht="13.2" spans="4:5">
      <c r="D260" s="14"/>
      <c r="E260" s="14"/>
    </row>
    <row r="261" ht="13.2" spans="4:5">
      <c r="D261" s="14"/>
      <c r="E261" s="14"/>
    </row>
    <row r="262" ht="13.2" spans="4:5">
      <c r="D262" s="14"/>
      <c r="E262" s="14"/>
    </row>
    <row r="263" ht="13.2" spans="4:5">
      <c r="D263" s="14"/>
      <c r="E263" s="14"/>
    </row>
    <row r="264" ht="13.2" spans="4:5">
      <c r="D264" s="14"/>
      <c r="E264" s="14"/>
    </row>
    <row r="265" ht="13.2" spans="4:5">
      <c r="D265" s="14"/>
      <c r="E265" s="14"/>
    </row>
    <row r="266" ht="13.2" spans="4:5">
      <c r="D266" s="14"/>
      <c r="E266" s="14"/>
    </row>
    <row r="267" ht="13.2" spans="4:5">
      <c r="D267" s="14"/>
      <c r="E267" s="14"/>
    </row>
    <row r="268" ht="13.2" spans="4:5">
      <c r="D268" s="14"/>
      <c r="E268" s="14"/>
    </row>
    <row r="269" ht="13.2" spans="4:5">
      <c r="D269" s="14"/>
      <c r="E269" s="14"/>
    </row>
    <row r="270" ht="13.2" spans="4:5">
      <c r="D270" s="14"/>
      <c r="E270" s="14"/>
    </row>
    <row r="271" ht="13.2" spans="4:5">
      <c r="D271" s="14"/>
      <c r="E271" s="14"/>
    </row>
    <row r="272" ht="13.2" spans="4:5">
      <c r="D272" s="14"/>
      <c r="E272" s="14"/>
    </row>
    <row r="273" ht="13.2" spans="4:5">
      <c r="D273" s="14"/>
      <c r="E273" s="14"/>
    </row>
    <row r="274" ht="13.2" spans="4:5">
      <c r="D274" s="14"/>
      <c r="E274" s="14"/>
    </row>
    <row r="275" ht="13.2" spans="4:5">
      <c r="D275" s="14"/>
      <c r="E275" s="14"/>
    </row>
    <row r="276" ht="13.2" spans="4:5">
      <c r="D276" s="14"/>
      <c r="E276" s="14"/>
    </row>
    <row r="277" ht="13.2" spans="4:5">
      <c r="D277" s="14"/>
      <c r="E277" s="14"/>
    </row>
    <row r="278" ht="13.2" spans="4:5">
      <c r="D278" s="14"/>
      <c r="E278" s="14"/>
    </row>
    <row r="279" ht="13.2" spans="4:5">
      <c r="D279" s="14"/>
      <c r="E279" s="14"/>
    </row>
    <row r="280" ht="13.2" spans="4:5">
      <c r="D280" s="14"/>
      <c r="E280" s="14"/>
    </row>
    <row r="281" ht="13.2" spans="4:5">
      <c r="D281" s="14"/>
      <c r="E281" s="14"/>
    </row>
    <row r="282" ht="13.2" spans="4:5">
      <c r="D282" s="14"/>
      <c r="E282" s="14"/>
    </row>
    <row r="283" ht="13.2" spans="4:5">
      <c r="D283" s="14"/>
      <c r="E283" s="14"/>
    </row>
    <row r="284" ht="13.2" spans="4:5">
      <c r="D284" s="14"/>
      <c r="E284" s="14"/>
    </row>
    <row r="285" ht="13.2" spans="4:5">
      <c r="D285" s="14"/>
      <c r="E285" s="14"/>
    </row>
    <row r="286" ht="13.2" spans="4:5">
      <c r="D286" s="14"/>
      <c r="E286" s="14"/>
    </row>
    <row r="287" ht="13.2" spans="4:5">
      <c r="D287" s="14"/>
      <c r="E287" s="14"/>
    </row>
    <row r="288" ht="13.2" spans="4:5">
      <c r="D288" s="14"/>
      <c r="E288" s="14"/>
    </row>
    <row r="289" ht="13.2" spans="4:5">
      <c r="D289" s="14"/>
      <c r="E289" s="14"/>
    </row>
    <row r="290" ht="13.2" spans="4:5">
      <c r="D290" s="14"/>
      <c r="E290" s="14"/>
    </row>
    <row r="291" ht="13.2" spans="4:5">
      <c r="D291" s="14"/>
      <c r="E291" s="14"/>
    </row>
    <row r="292" ht="13.2" spans="4:5">
      <c r="D292" s="14"/>
      <c r="E292" s="14"/>
    </row>
    <row r="293" ht="13.2" spans="4:5">
      <c r="D293" s="14"/>
      <c r="E293" s="14"/>
    </row>
    <row r="294" ht="13.2" spans="4:5">
      <c r="D294" s="14"/>
      <c r="E294" s="14"/>
    </row>
    <row r="295" ht="13.2" spans="4:5">
      <c r="D295" s="14"/>
      <c r="E295" s="14"/>
    </row>
    <row r="296" ht="13.2" spans="4:5">
      <c r="D296" s="14"/>
      <c r="E296" s="14"/>
    </row>
    <row r="297" ht="13.2" spans="4:5">
      <c r="D297" s="14"/>
      <c r="E297" s="14"/>
    </row>
    <row r="298" ht="13.2" spans="4:5">
      <c r="D298" s="14"/>
      <c r="E298" s="14"/>
    </row>
    <row r="299" ht="13.2" spans="4:5">
      <c r="D299" s="14"/>
      <c r="E299" s="14"/>
    </row>
    <row r="300" ht="13.2" spans="4:5">
      <c r="D300" s="14"/>
      <c r="E300" s="14"/>
    </row>
    <row r="301" ht="13.2" spans="4:5">
      <c r="D301" s="14"/>
      <c r="E301" s="14"/>
    </row>
    <row r="302" ht="13.2" spans="4:5">
      <c r="D302" s="14"/>
      <c r="E302" s="14"/>
    </row>
    <row r="303" ht="13.2" spans="4:5">
      <c r="D303" s="14"/>
      <c r="E303" s="14"/>
    </row>
    <row r="304" ht="13.2" spans="4:5">
      <c r="D304" s="14"/>
      <c r="E304" s="14"/>
    </row>
    <row r="305" ht="13.2" spans="4:5">
      <c r="D305" s="14"/>
      <c r="E305" s="14"/>
    </row>
    <row r="306" ht="13.2" spans="4:5">
      <c r="D306" s="14"/>
      <c r="E306" s="14"/>
    </row>
    <row r="307" ht="13.2" spans="4:5">
      <c r="D307" s="14"/>
      <c r="E307" s="14"/>
    </row>
    <row r="308" ht="13.2" spans="4:5">
      <c r="D308" s="14"/>
      <c r="E308" s="14"/>
    </row>
    <row r="309" ht="13.2" spans="4:5">
      <c r="D309" s="14"/>
      <c r="E309" s="14"/>
    </row>
    <row r="310" ht="13.2" spans="4:5">
      <c r="D310" s="14"/>
      <c r="E310" s="14"/>
    </row>
    <row r="311" ht="13.2" spans="4:5">
      <c r="D311" s="14"/>
      <c r="E311" s="14"/>
    </row>
    <row r="312" ht="13.2" spans="4:5">
      <c r="D312" s="14"/>
      <c r="E312" s="14"/>
    </row>
    <row r="313" ht="13.2" spans="4:5">
      <c r="D313" s="14"/>
      <c r="E313" s="14"/>
    </row>
    <row r="314" ht="13.2" spans="4:5">
      <c r="D314" s="14"/>
      <c r="E314" s="14"/>
    </row>
    <row r="315" ht="13.2" spans="4:5">
      <c r="D315" s="14"/>
      <c r="E315" s="14"/>
    </row>
    <row r="316" ht="13.2" spans="4:5">
      <c r="D316" s="14"/>
      <c r="E316" s="14"/>
    </row>
    <row r="317" ht="13.2" spans="4:5">
      <c r="D317" s="14"/>
      <c r="E317" s="14"/>
    </row>
    <row r="318" ht="13.2" spans="4:5">
      <c r="D318" s="14"/>
      <c r="E318" s="14"/>
    </row>
    <row r="319" ht="13.2" spans="4:5">
      <c r="D319" s="14"/>
      <c r="E319" s="14"/>
    </row>
    <row r="320" ht="13.2" spans="4:5">
      <c r="D320" s="14"/>
      <c r="E320" s="14"/>
    </row>
    <row r="321" ht="13.2" spans="4:5">
      <c r="D321" s="14"/>
      <c r="E321" s="14"/>
    </row>
    <row r="322" ht="13.2" spans="4:5">
      <c r="D322" s="14"/>
      <c r="E322" s="14"/>
    </row>
    <row r="323" ht="13.2" spans="4:5">
      <c r="D323" s="14"/>
      <c r="E323" s="14"/>
    </row>
    <row r="324" ht="13.2" spans="4:5">
      <c r="D324" s="14"/>
      <c r="E324" s="14"/>
    </row>
    <row r="325" ht="13.2" spans="4:5">
      <c r="D325" s="14"/>
      <c r="E325" s="14"/>
    </row>
    <row r="326" ht="13.2" spans="4:5">
      <c r="D326" s="14"/>
      <c r="E326" s="14"/>
    </row>
    <row r="327" ht="13.2" spans="4:5">
      <c r="D327" s="14"/>
      <c r="E327" s="14"/>
    </row>
    <row r="328" ht="13.2" spans="4:5">
      <c r="D328" s="14"/>
      <c r="E328" s="14"/>
    </row>
    <row r="329" ht="13.2" spans="4:5">
      <c r="D329" s="14"/>
      <c r="E329" s="14"/>
    </row>
    <row r="330" ht="13.2" spans="4:5">
      <c r="D330" s="14"/>
      <c r="E330" s="14"/>
    </row>
    <row r="331" ht="13.2" spans="4:5">
      <c r="D331" s="14"/>
      <c r="E331" s="14"/>
    </row>
    <row r="332" ht="13.2" spans="4:5">
      <c r="D332" s="14"/>
      <c r="E332" s="14"/>
    </row>
    <row r="333" ht="13.2" spans="4:5">
      <c r="D333" s="14"/>
      <c r="E333" s="14"/>
    </row>
    <row r="334" ht="13.2" spans="4:5">
      <c r="D334" s="14"/>
      <c r="E334" s="14"/>
    </row>
    <row r="335" ht="13.2" spans="4:5">
      <c r="D335" s="14"/>
      <c r="E335" s="14"/>
    </row>
    <row r="336" ht="13.2" spans="4:5">
      <c r="D336" s="14"/>
      <c r="E336" s="14"/>
    </row>
    <row r="337" ht="13.2" spans="4:5">
      <c r="D337" s="14"/>
      <c r="E337" s="14"/>
    </row>
    <row r="338" ht="13.2" spans="4:5">
      <c r="D338" s="14"/>
      <c r="E338" s="14"/>
    </row>
    <row r="339" ht="13.2" spans="4:5">
      <c r="D339" s="14"/>
      <c r="E339" s="14"/>
    </row>
    <row r="340" ht="13.2" spans="4:5">
      <c r="D340" s="14"/>
      <c r="E340" s="14"/>
    </row>
    <row r="341" ht="13.2" spans="4:5">
      <c r="D341" s="14"/>
      <c r="E341" s="14"/>
    </row>
    <row r="342" ht="13.2" spans="4:5">
      <c r="D342" s="14"/>
      <c r="E342" s="14"/>
    </row>
    <row r="343" ht="13.2" spans="4:5">
      <c r="D343" s="14"/>
      <c r="E343" s="14"/>
    </row>
    <row r="344" ht="13.2" spans="4:5">
      <c r="D344" s="14"/>
      <c r="E344" s="14"/>
    </row>
    <row r="345" ht="13.2" spans="4:5">
      <c r="D345" s="14"/>
      <c r="E345" s="14"/>
    </row>
    <row r="346" ht="13.2" spans="4:5">
      <c r="D346" s="14"/>
      <c r="E346" s="14"/>
    </row>
    <row r="347" ht="13.2" spans="4:5">
      <c r="D347" s="14"/>
      <c r="E347" s="14"/>
    </row>
    <row r="348" ht="13.2" spans="4:5">
      <c r="D348" s="14"/>
      <c r="E348" s="14"/>
    </row>
    <row r="349" ht="13.2" spans="4:5">
      <c r="D349" s="14"/>
      <c r="E349" s="14"/>
    </row>
    <row r="350" ht="13.2" spans="4:5">
      <c r="D350" s="14"/>
      <c r="E350" s="14"/>
    </row>
    <row r="351" ht="13.2" spans="4:5">
      <c r="D351" s="14"/>
      <c r="E351" s="14"/>
    </row>
    <row r="352" ht="13.2" spans="4:5">
      <c r="D352" s="14"/>
      <c r="E352" s="14"/>
    </row>
    <row r="353" ht="13.2" spans="4:5">
      <c r="D353" s="14"/>
      <c r="E353" s="14"/>
    </row>
    <row r="354" ht="13.2" spans="4:5">
      <c r="D354" s="14"/>
      <c r="E354" s="14"/>
    </row>
    <row r="355" ht="13.2" spans="4:5">
      <c r="D355" s="14"/>
      <c r="E355" s="14"/>
    </row>
    <row r="356" ht="13.2" spans="4:5">
      <c r="D356" s="14"/>
      <c r="E356" s="14"/>
    </row>
    <row r="357" ht="13.2" spans="4:5">
      <c r="D357" s="14"/>
      <c r="E357" s="14"/>
    </row>
    <row r="358" ht="13.2" spans="4:5">
      <c r="D358" s="14"/>
      <c r="E358" s="14"/>
    </row>
    <row r="359" ht="13.2" spans="4:5">
      <c r="D359" s="14"/>
      <c r="E359" s="14"/>
    </row>
    <row r="360" ht="13.2" spans="4:5">
      <c r="D360" s="14"/>
      <c r="E360" s="14"/>
    </row>
    <row r="361" ht="13.2" spans="4:5">
      <c r="D361" s="14"/>
      <c r="E361" s="14"/>
    </row>
    <row r="362" ht="13.2" spans="4:5">
      <c r="D362" s="14"/>
      <c r="E362" s="14"/>
    </row>
    <row r="363" ht="13.2" spans="4:5">
      <c r="D363" s="14"/>
      <c r="E363" s="14"/>
    </row>
    <row r="364" ht="13.2" spans="4:5">
      <c r="D364" s="14"/>
      <c r="E364" s="14"/>
    </row>
    <row r="365" ht="13.2" spans="4:5">
      <c r="D365" s="14"/>
      <c r="E365" s="14"/>
    </row>
    <row r="366" ht="13.2" spans="4:5">
      <c r="D366" s="14"/>
      <c r="E366" s="14"/>
    </row>
    <row r="367" ht="13.2" spans="4:5">
      <c r="D367" s="14"/>
      <c r="E367" s="14"/>
    </row>
    <row r="368" ht="13.2" spans="4:5">
      <c r="D368" s="14"/>
      <c r="E368" s="14"/>
    </row>
    <row r="369" ht="13.2" spans="4:5">
      <c r="D369" s="14"/>
      <c r="E369" s="14"/>
    </row>
    <row r="370" ht="13.2" spans="4:5">
      <c r="D370" s="14"/>
      <c r="E370" s="14"/>
    </row>
    <row r="371" ht="13.2" spans="4:5">
      <c r="D371" s="14"/>
      <c r="E371" s="14"/>
    </row>
    <row r="372" ht="13.2" spans="4:5">
      <c r="D372" s="14"/>
      <c r="E372" s="14"/>
    </row>
    <row r="373" ht="13.2" spans="4:5">
      <c r="D373" s="14"/>
      <c r="E373" s="14"/>
    </row>
    <row r="374" ht="13.2" spans="4:5">
      <c r="D374" s="14"/>
      <c r="E374" s="14"/>
    </row>
    <row r="375" ht="13.2" spans="4:5">
      <c r="D375" s="14"/>
      <c r="E375" s="14"/>
    </row>
    <row r="376" ht="13.2" spans="4:5">
      <c r="D376" s="14"/>
      <c r="E376" s="14"/>
    </row>
    <row r="377" ht="13.2" spans="4:5">
      <c r="D377" s="14"/>
      <c r="E377" s="14"/>
    </row>
    <row r="378" ht="13.2" spans="4:5">
      <c r="D378" s="14"/>
      <c r="E378" s="14"/>
    </row>
    <row r="379" ht="13.2" spans="4:5">
      <c r="D379" s="14"/>
      <c r="E379" s="14"/>
    </row>
    <row r="380" ht="13.2" spans="4:5">
      <c r="D380" s="14"/>
      <c r="E380" s="14"/>
    </row>
    <row r="381" ht="13.2" spans="4:5">
      <c r="D381" s="14"/>
      <c r="E381" s="14"/>
    </row>
    <row r="382" ht="13.2" spans="4:5">
      <c r="D382" s="14"/>
      <c r="E382" s="14"/>
    </row>
    <row r="383" ht="13.2" spans="4:5">
      <c r="D383" s="14"/>
      <c r="E383" s="14"/>
    </row>
    <row r="384" ht="13.2" spans="4:5">
      <c r="D384" s="14"/>
      <c r="E384" s="14"/>
    </row>
    <row r="385" ht="13.2" spans="4:5">
      <c r="D385" s="14"/>
      <c r="E385" s="14"/>
    </row>
    <row r="386" ht="13.2" spans="4:5">
      <c r="D386" s="14"/>
      <c r="E386" s="14"/>
    </row>
    <row r="387" ht="13.2" spans="4:5">
      <c r="D387" s="14"/>
      <c r="E387" s="14"/>
    </row>
    <row r="388" ht="13.2" spans="4:5">
      <c r="D388" s="14"/>
      <c r="E388" s="14"/>
    </row>
    <row r="389" ht="13.2" spans="4:5">
      <c r="D389" s="14"/>
      <c r="E389" s="14"/>
    </row>
    <row r="390" ht="13.2" spans="4:5">
      <c r="D390" s="14"/>
      <c r="E390" s="14"/>
    </row>
    <row r="391" ht="13.2" spans="4:5">
      <c r="D391" s="14"/>
      <c r="E391" s="14"/>
    </row>
    <row r="392" ht="13.2" spans="4:5">
      <c r="D392" s="14"/>
      <c r="E392" s="14"/>
    </row>
    <row r="393" ht="13.2" spans="4:5">
      <c r="D393" s="14"/>
      <c r="E393" s="14"/>
    </row>
    <row r="394" ht="13.2" spans="4:5">
      <c r="D394" s="14"/>
      <c r="E394" s="14"/>
    </row>
    <row r="395" ht="13.2" spans="4:5">
      <c r="D395" s="14"/>
      <c r="E395" s="14"/>
    </row>
    <row r="396" ht="13.2" spans="4:5">
      <c r="D396" s="14"/>
      <c r="E396" s="14"/>
    </row>
    <row r="397" ht="13.2" spans="4:5">
      <c r="D397" s="14"/>
      <c r="E397" s="14"/>
    </row>
    <row r="398" ht="13.2" spans="4:5">
      <c r="D398" s="14"/>
      <c r="E398" s="14"/>
    </row>
    <row r="399" ht="13.2" spans="4:5">
      <c r="D399" s="14"/>
      <c r="E399" s="14"/>
    </row>
    <row r="400" ht="13.2" spans="4:5">
      <c r="D400" s="14"/>
      <c r="E400" s="14"/>
    </row>
    <row r="401" ht="13.2" spans="4:5">
      <c r="D401" s="14"/>
      <c r="E401" s="14"/>
    </row>
    <row r="402" ht="13.2" spans="4:5">
      <c r="D402" s="14"/>
      <c r="E402" s="14"/>
    </row>
    <row r="403" ht="13.2" spans="4:5">
      <c r="D403" s="14"/>
      <c r="E403" s="14"/>
    </row>
    <row r="404" ht="13.2" spans="4:5">
      <c r="D404" s="14"/>
      <c r="E404" s="14"/>
    </row>
    <row r="405" ht="13.2" spans="4:5">
      <c r="D405" s="14"/>
      <c r="E405" s="14"/>
    </row>
    <row r="406" ht="13.2" spans="4:5">
      <c r="D406" s="14"/>
      <c r="E406" s="14"/>
    </row>
    <row r="407" ht="13.2" spans="4:5">
      <c r="D407" s="14"/>
      <c r="E407" s="14"/>
    </row>
    <row r="408" ht="13.2" spans="4:5">
      <c r="D408" s="14"/>
      <c r="E408" s="14"/>
    </row>
    <row r="409" ht="13.2" spans="4:5">
      <c r="D409" s="14"/>
      <c r="E409" s="14"/>
    </row>
    <row r="410" ht="13.2" spans="4:5">
      <c r="D410" s="14"/>
      <c r="E410" s="14"/>
    </row>
    <row r="411" ht="13.2" spans="4:5">
      <c r="D411" s="14"/>
      <c r="E411" s="14"/>
    </row>
    <row r="412" ht="13.2" spans="4:5">
      <c r="D412" s="14"/>
      <c r="E412" s="14"/>
    </row>
    <row r="413" ht="13.2" spans="4:5">
      <c r="D413" s="14"/>
      <c r="E413" s="14"/>
    </row>
    <row r="414" ht="13.2" spans="4:5">
      <c r="D414" s="14"/>
      <c r="E414" s="14"/>
    </row>
    <row r="415" ht="13.2" spans="4:5">
      <c r="D415" s="14"/>
      <c r="E415" s="14"/>
    </row>
    <row r="416" ht="13.2" spans="4:5">
      <c r="D416" s="14"/>
      <c r="E416" s="14"/>
    </row>
    <row r="417" ht="13.2" spans="4:5">
      <c r="D417" s="14"/>
      <c r="E417" s="14"/>
    </row>
    <row r="418" ht="13.2" spans="4:5">
      <c r="D418" s="14"/>
      <c r="E418" s="14"/>
    </row>
    <row r="419" ht="13.2" spans="4:5">
      <c r="D419" s="14"/>
      <c r="E419" s="14"/>
    </row>
    <row r="420" ht="13.2" spans="4:5">
      <c r="D420" s="14"/>
      <c r="E420" s="14"/>
    </row>
    <row r="421" ht="13.2" spans="4:5">
      <c r="D421" s="14"/>
      <c r="E421" s="14"/>
    </row>
    <row r="422" ht="13.2" spans="4:5">
      <c r="D422" s="14"/>
      <c r="E422" s="14"/>
    </row>
    <row r="423" ht="13.2" spans="4:5">
      <c r="D423" s="14"/>
      <c r="E423" s="14"/>
    </row>
    <row r="424" ht="13.2" spans="4:5">
      <c r="D424" s="14"/>
      <c r="E424" s="14"/>
    </row>
    <row r="425" ht="13.2" spans="4:5">
      <c r="D425" s="14"/>
      <c r="E425" s="14"/>
    </row>
    <row r="426" ht="13.2" spans="4:5">
      <c r="D426" s="14"/>
      <c r="E426" s="14"/>
    </row>
    <row r="427" ht="13.2" spans="4:5">
      <c r="D427" s="14"/>
      <c r="E427" s="14"/>
    </row>
    <row r="428" ht="13.2" spans="4:5">
      <c r="D428" s="14"/>
      <c r="E428" s="14"/>
    </row>
    <row r="429" ht="13.2" spans="4:5">
      <c r="D429" s="14"/>
      <c r="E429" s="14"/>
    </row>
    <row r="430" ht="13.2" spans="4:5">
      <c r="D430" s="14"/>
      <c r="E430" s="14"/>
    </row>
    <row r="431" ht="13.2" spans="4:5">
      <c r="D431" s="14"/>
      <c r="E431" s="14"/>
    </row>
    <row r="432" ht="13.2" spans="4:5">
      <c r="D432" s="14"/>
      <c r="E432" s="14"/>
    </row>
    <row r="433" ht="13.2" spans="4:5">
      <c r="D433" s="14"/>
      <c r="E433" s="14"/>
    </row>
    <row r="434" ht="13.2" spans="4:5">
      <c r="D434" s="14"/>
      <c r="E434" s="14"/>
    </row>
    <row r="435" ht="13.2" spans="4:5">
      <c r="D435" s="14"/>
      <c r="E435" s="14"/>
    </row>
    <row r="436" ht="13.2" spans="4:5">
      <c r="D436" s="14"/>
      <c r="E436" s="14"/>
    </row>
    <row r="437" ht="13.2" spans="4:5">
      <c r="D437" s="14"/>
      <c r="E437" s="14"/>
    </row>
    <row r="438" ht="13.2" spans="4:5">
      <c r="D438" s="14"/>
      <c r="E438" s="14"/>
    </row>
    <row r="439" ht="13.2" spans="4:5">
      <c r="D439" s="14"/>
      <c r="E439" s="14"/>
    </row>
    <row r="440" ht="13.2" spans="4:5">
      <c r="D440" s="14"/>
      <c r="E440" s="14"/>
    </row>
    <row r="441" ht="13.2" spans="4:5">
      <c r="D441" s="14"/>
      <c r="E441" s="14"/>
    </row>
    <row r="442" ht="13.2" spans="4:5">
      <c r="D442" s="14"/>
      <c r="E442" s="14"/>
    </row>
    <row r="443" ht="13.2" spans="4:5">
      <c r="D443" s="14"/>
      <c r="E443" s="14"/>
    </row>
    <row r="444" ht="13.2" spans="4:5">
      <c r="D444" s="14"/>
      <c r="E444" s="14"/>
    </row>
    <row r="445" ht="13.2" spans="4:5">
      <c r="D445" s="14"/>
      <c r="E445" s="14"/>
    </row>
    <row r="446" ht="13.2" spans="4:5">
      <c r="D446" s="14"/>
      <c r="E446" s="14"/>
    </row>
    <row r="447" ht="13.2" spans="4:5">
      <c r="D447" s="14"/>
      <c r="E447" s="14"/>
    </row>
    <row r="448" ht="13.2" spans="4:5">
      <c r="D448" s="14"/>
      <c r="E448" s="14"/>
    </row>
    <row r="449" ht="13.2" spans="4:5">
      <c r="D449" s="14"/>
      <c r="E449" s="14"/>
    </row>
    <row r="450" ht="13.2" spans="4:5">
      <c r="D450" s="14"/>
      <c r="E450" s="14"/>
    </row>
    <row r="451" ht="13.2" spans="4:5">
      <c r="D451" s="14"/>
      <c r="E451" s="14"/>
    </row>
    <row r="452" ht="13.2" spans="4:5">
      <c r="D452" s="14"/>
      <c r="E452" s="14"/>
    </row>
    <row r="453" ht="13.2" spans="4:5">
      <c r="D453" s="14"/>
      <c r="E453" s="14"/>
    </row>
    <row r="454" ht="13.2" spans="4:5">
      <c r="D454" s="14"/>
      <c r="E454" s="14"/>
    </row>
    <row r="455" ht="13.2" spans="4:5">
      <c r="D455" s="14"/>
      <c r="E455" s="14"/>
    </row>
    <row r="456" ht="13.2" spans="4:5">
      <c r="D456" s="14"/>
      <c r="E456" s="14"/>
    </row>
    <row r="457" ht="13.2" spans="4:5">
      <c r="D457" s="14"/>
      <c r="E457" s="14"/>
    </row>
    <row r="458" ht="13.2" spans="4:5">
      <c r="D458" s="14"/>
      <c r="E458" s="14"/>
    </row>
    <row r="459" ht="13.2" spans="4:5">
      <c r="D459" s="14"/>
      <c r="E459" s="14"/>
    </row>
    <row r="460" ht="13.2" spans="4:5">
      <c r="D460" s="14"/>
      <c r="E460" s="14"/>
    </row>
    <row r="461" ht="13.2" spans="4:5">
      <c r="D461" s="14"/>
      <c r="E461" s="14"/>
    </row>
    <row r="462" ht="13.2" spans="4:5">
      <c r="D462" s="14"/>
      <c r="E462" s="14"/>
    </row>
    <row r="463" ht="13.2" spans="4:5">
      <c r="D463" s="14"/>
      <c r="E463" s="14"/>
    </row>
    <row r="464" ht="13.2" spans="4:5">
      <c r="D464" s="14"/>
      <c r="E464" s="14"/>
    </row>
    <row r="465" ht="13.2" spans="4:5">
      <c r="D465" s="14"/>
      <c r="E465" s="14"/>
    </row>
    <row r="466" ht="13.2" spans="4:5">
      <c r="D466" s="14"/>
      <c r="E466" s="14"/>
    </row>
    <row r="467" ht="13.2" spans="4:5">
      <c r="D467" s="14"/>
      <c r="E467" s="14"/>
    </row>
    <row r="468" ht="13.2" spans="4:5">
      <c r="D468" s="14"/>
      <c r="E468" s="14"/>
    </row>
    <row r="469" ht="13.2" spans="4:5">
      <c r="D469" s="14"/>
      <c r="E469" s="14"/>
    </row>
    <row r="470" ht="13.2" spans="4:5">
      <c r="D470" s="14"/>
      <c r="E470" s="14"/>
    </row>
    <row r="471" ht="13.2" spans="4:5">
      <c r="D471" s="14"/>
      <c r="E471" s="14"/>
    </row>
    <row r="472" ht="13.2" spans="4:5">
      <c r="D472" s="14"/>
      <c r="E472" s="14"/>
    </row>
    <row r="473" ht="13.2" spans="4:5">
      <c r="D473" s="14"/>
      <c r="E473" s="14"/>
    </row>
    <row r="474" ht="13.2" spans="4:5">
      <c r="D474" s="14"/>
      <c r="E474" s="14"/>
    </row>
    <row r="475" ht="13.2" spans="4:5">
      <c r="D475" s="14"/>
      <c r="E475" s="14"/>
    </row>
    <row r="476" ht="13.2" spans="4:5">
      <c r="D476" s="14"/>
      <c r="E476" s="14"/>
    </row>
    <row r="477" ht="13.2" spans="4:5">
      <c r="D477" s="14"/>
      <c r="E477" s="14"/>
    </row>
    <row r="478" ht="13.2" spans="4:5">
      <c r="D478" s="14"/>
      <c r="E478" s="14"/>
    </row>
    <row r="479" ht="13.2" spans="4:5">
      <c r="D479" s="14"/>
      <c r="E479" s="14"/>
    </row>
    <row r="480" ht="13.2" spans="4:5">
      <c r="D480" s="14"/>
      <c r="E480" s="14"/>
    </row>
    <row r="481" ht="13.2" spans="4:5">
      <c r="D481" s="14"/>
      <c r="E481" s="14"/>
    </row>
    <row r="482" ht="13.2" spans="4:5">
      <c r="D482" s="14"/>
      <c r="E482" s="14"/>
    </row>
    <row r="483" ht="13.2" spans="4:5">
      <c r="D483" s="14"/>
      <c r="E483" s="14"/>
    </row>
    <row r="484" ht="13.2" spans="4:5">
      <c r="D484" s="14"/>
      <c r="E484" s="14"/>
    </row>
    <row r="485" ht="13.2" spans="4:5">
      <c r="D485" s="14"/>
      <c r="E485" s="14"/>
    </row>
    <row r="486" ht="13.2" spans="4:5">
      <c r="D486" s="14"/>
      <c r="E486" s="14"/>
    </row>
    <row r="487" ht="13.2" spans="4:5">
      <c r="D487" s="14"/>
      <c r="E487" s="14"/>
    </row>
    <row r="488" ht="13.2" spans="4:5">
      <c r="D488" s="14"/>
      <c r="E488" s="14"/>
    </row>
    <row r="489" ht="13.2" spans="4:5">
      <c r="D489" s="14"/>
      <c r="E489" s="14"/>
    </row>
    <row r="490" ht="13.2" spans="4:5">
      <c r="D490" s="14"/>
      <c r="E490" s="14"/>
    </row>
    <row r="491" ht="13.2" spans="4:5">
      <c r="D491" s="14"/>
      <c r="E491" s="14"/>
    </row>
    <row r="492" ht="13.2" spans="4:5">
      <c r="D492" s="14"/>
      <c r="E492" s="14"/>
    </row>
    <row r="493" ht="13.2" spans="4:5">
      <c r="D493" s="14"/>
      <c r="E493" s="14"/>
    </row>
    <row r="494" ht="13.2" spans="4:5">
      <c r="D494" s="14"/>
      <c r="E494" s="14"/>
    </row>
    <row r="495" ht="13.2" spans="4:5">
      <c r="D495" s="14"/>
      <c r="E495" s="14"/>
    </row>
    <row r="496" ht="13.2" spans="4:5">
      <c r="D496" s="14"/>
      <c r="E496" s="14"/>
    </row>
    <row r="497" ht="13.2" spans="4:5">
      <c r="D497" s="14"/>
      <c r="E497" s="14"/>
    </row>
    <row r="498" ht="13.2" spans="4:5">
      <c r="D498" s="14"/>
      <c r="E498" s="14"/>
    </row>
    <row r="499" ht="13.2" spans="4:5">
      <c r="D499" s="14"/>
      <c r="E499" s="14"/>
    </row>
    <row r="500" ht="13.2" spans="4:5">
      <c r="D500" s="14"/>
      <c r="E500" s="14"/>
    </row>
    <row r="501" ht="13.2" spans="4:5">
      <c r="D501" s="14"/>
      <c r="E501" s="14"/>
    </row>
    <row r="502" ht="13.2" spans="4:5">
      <c r="D502" s="14"/>
      <c r="E502" s="14"/>
    </row>
    <row r="503" ht="13.2" spans="4:5">
      <c r="D503" s="14"/>
      <c r="E503" s="14"/>
    </row>
    <row r="504" ht="13.2" spans="4:5">
      <c r="D504" s="14"/>
      <c r="E504" s="14"/>
    </row>
    <row r="505" ht="13.2" spans="4:5">
      <c r="D505" s="14"/>
      <c r="E505" s="14"/>
    </row>
    <row r="506" ht="13.2" spans="4:5">
      <c r="D506" s="14"/>
      <c r="E506" s="14"/>
    </row>
    <row r="507" ht="13.2" spans="4:5">
      <c r="D507" s="14"/>
      <c r="E507" s="14"/>
    </row>
    <row r="508" ht="13.2" spans="4:5">
      <c r="D508" s="14"/>
      <c r="E508" s="14"/>
    </row>
    <row r="509" ht="13.2" spans="4:5">
      <c r="D509" s="14"/>
      <c r="E509" s="14"/>
    </row>
    <row r="510" ht="13.2" spans="4:5">
      <c r="D510" s="14"/>
      <c r="E510" s="14"/>
    </row>
    <row r="511" ht="13.2" spans="4:5">
      <c r="D511" s="14"/>
      <c r="E511" s="14"/>
    </row>
    <row r="512" ht="13.2" spans="4:5">
      <c r="D512" s="14"/>
      <c r="E512" s="14"/>
    </row>
    <row r="513" ht="13.2" spans="4:5">
      <c r="D513" s="14"/>
      <c r="E513" s="14"/>
    </row>
    <row r="514" ht="13.2" spans="4:5">
      <c r="D514" s="14"/>
      <c r="E514" s="14"/>
    </row>
    <row r="515" ht="13.2" spans="4:5">
      <c r="D515" s="14"/>
      <c r="E515" s="14"/>
    </row>
    <row r="516" ht="13.2" spans="4:5">
      <c r="D516" s="14"/>
      <c r="E516" s="14"/>
    </row>
    <row r="517" ht="13.2" spans="4:5">
      <c r="D517" s="14"/>
      <c r="E517" s="14"/>
    </row>
    <row r="518" ht="13.2" spans="4:5">
      <c r="D518" s="14"/>
      <c r="E518" s="14"/>
    </row>
    <row r="519" ht="13.2" spans="4:5">
      <c r="D519" s="14"/>
      <c r="E519" s="14"/>
    </row>
    <row r="520" ht="13.2" spans="4:5">
      <c r="D520" s="14"/>
      <c r="E520" s="14"/>
    </row>
    <row r="521" ht="13.2" spans="4:5">
      <c r="D521" s="14"/>
      <c r="E521" s="14"/>
    </row>
    <row r="522" ht="13.2" spans="4:5">
      <c r="D522" s="14"/>
      <c r="E522" s="14"/>
    </row>
    <row r="523" ht="13.2" spans="4:5">
      <c r="D523" s="14"/>
      <c r="E523" s="14"/>
    </row>
    <row r="524" ht="13.2" spans="4:5">
      <c r="D524" s="14"/>
      <c r="E524" s="14"/>
    </row>
    <row r="525" ht="13.2" spans="4:5">
      <c r="D525" s="14"/>
      <c r="E525" s="14"/>
    </row>
    <row r="526" ht="13.2" spans="4:5">
      <c r="D526" s="14"/>
      <c r="E526" s="14"/>
    </row>
    <row r="527" ht="13.2" spans="4:5">
      <c r="D527" s="14"/>
      <c r="E527" s="14"/>
    </row>
    <row r="528" ht="13.2" spans="4:5">
      <c r="D528" s="14"/>
      <c r="E528" s="14"/>
    </row>
    <row r="529" ht="13.2" spans="4:5">
      <c r="D529" s="14"/>
      <c r="E529" s="14"/>
    </row>
    <row r="530" ht="13.2" spans="4:5">
      <c r="D530" s="14"/>
      <c r="E530" s="14"/>
    </row>
    <row r="531" ht="13.2" spans="4:5">
      <c r="D531" s="14"/>
      <c r="E531" s="14"/>
    </row>
    <row r="532" ht="13.2" spans="4:5">
      <c r="D532" s="14"/>
      <c r="E532" s="14"/>
    </row>
    <row r="533" ht="13.2" spans="4:5">
      <c r="D533" s="14"/>
      <c r="E533" s="14"/>
    </row>
    <row r="534" ht="13.2" spans="4:5">
      <c r="D534" s="14"/>
      <c r="E534" s="14"/>
    </row>
    <row r="535" ht="13.2" spans="4:5">
      <c r="D535" s="14"/>
      <c r="E535" s="14"/>
    </row>
    <row r="536" ht="13.2" spans="4:5">
      <c r="D536" s="14"/>
      <c r="E536" s="14"/>
    </row>
    <row r="537" ht="13.2" spans="4:5">
      <c r="D537" s="14"/>
      <c r="E537" s="14"/>
    </row>
    <row r="538" ht="13.2" spans="4:5">
      <c r="D538" s="14"/>
      <c r="E538" s="14"/>
    </row>
    <row r="539" ht="13.2" spans="4:5">
      <c r="D539" s="14"/>
      <c r="E539" s="14"/>
    </row>
    <row r="540" ht="13.2" spans="4:5">
      <c r="D540" s="14"/>
      <c r="E540" s="14"/>
    </row>
    <row r="541" ht="13.2" spans="4:5">
      <c r="D541" s="14"/>
      <c r="E541" s="14"/>
    </row>
    <row r="542" ht="13.2" spans="4:5">
      <c r="D542" s="14"/>
      <c r="E542" s="14"/>
    </row>
    <row r="543" ht="13.2" spans="4:5">
      <c r="D543" s="14"/>
      <c r="E543" s="14"/>
    </row>
    <row r="544" ht="13.2" spans="4:5">
      <c r="D544" s="14"/>
      <c r="E544" s="14"/>
    </row>
    <row r="545" ht="13.2" spans="4:5">
      <c r="D545" s="14"/>
      <c r="E545" s="14"/>
    </row>
    <row r="546" ht="13.2" spans="4:5">
      <c r="D546" s="14"/>
      <c r="E546" s="14"/>
    </row>
    <row r="547" ht="13.2" spans="4:5">
      <c r="D547" s="14"/>
      <c r="E547" s="14"/>
    </row>
    <row r="548" ht="13.2" spans="4:5">
      <c r="D548" s="14"/>
      <c r="E548" s="14"/>
    </row>
    <row r="549" ht="13.2" spans="4:5">
      <c r="D549" s="14"/>
      <c r="E549" s="14"/>
    </row>
    <row r="550" ht="13.2" spans="4:5">
      <c r="D550" s="14"/>
      <c r="E550" s="14"/>
    </row>
    <row r="551" ht="13.2" spans="4:5">
      <c r="D551" s="14"/>
      <c r="E551" s="14"/>
    </row>
    <row r="552" ht="13.2" spans="4:5">
      <c r="D552" s="14"/>
      <c r="E552" s="14"/>
    </row>
    <row r="553" ht="13.2" spans="4:5">
      <c r="D553" s="14"/>
      <c r="E553" s="14"/>
    </row>
    <row r="554" ht="13.2" spans="4:5">
      <c r="D554" s="14"/>
      <c r="E554" s="14"/>
    </row>
    <row r="555" ht="13.2" spans="4:5">
      <c r="D555" s="14"/>
      <c r="E555" s="14"/>
    </row>
    <row r="556" ht="13.2" spans="4:5">
      <c r="D556" s="14"/>
      <c r="E556" s="14"/>
    </row>
    <row r="557" ht="13.2" spans="4:5">
      <c r="D557" s="14"/>
      <c r="E557" s="14"/>
    </row>
    <row r="558" ht="13.2" spans="4:5">
      <c r="D558" s="14"/>
      <c r="E558" s="14"/>
    </row>
    <row r="559" ht="13.2" spans="4:5">
      <c r="D559" s="14"/>
      <c r="E559" s="14"/>
    </row>
    <row r="560" ht="13.2" spans="4:5">
      <c r="D560" s="14"/>
      <c r="E560" s="14"/>
    </row>
    <row r="561" ht="13.2" spans="4:5">
      <c r="D561" s="14"/>
      <c r="E561" s="14"/>
    </row>
    <row r="562" ht="13.2" spans="4:5">
      <c r="D562" s="14"/>
      <c r="E562" s="14"/>
    </row>
    <row r="563" ht="13.2" spans="4:5">
      <c r="D563" s="14"/>
      <c r="E563" s="14"/>
    </row>
    <row r="564" ht="13.2" spans="4:5">
      <c r="D564" s="14"/>
      <c r="E564" s="14"/>
    </row>
    <row r="565" ht="13.2" spans="4:5">
      <c r="D565" s="14"/>
      <c r="E565" s="14"/>
    </row>
    <row r="566" ht="13.2" spans="4:5">
      <c r="D566" s="14"/>
      <c r="E566" s="14"/>
    </row>
    <row r="567" ht="13.2" spans="4:5">
      <c r="D567" s="14"/>
      <c r="E567" s="14"/>
    </row>
    <row r="568" ht="13.2" spans="4:5">
      <c r="D568" s="14"/>
      <c r="E568" s="14"/>
    </row>
    <row r="569" ht="13.2" spans="4:5">
      <c r="D569" s="14"/>
      <c r="E569" s="14"/>
    </row>
    <row r="570" ht="13.2" spans="4:5">
      <c r="D570" s="14"/>
      <c r="E570" s="14"/>
    </row>
    <row r="571" ht="13.2" spans="4:5">
      <c r="D571" s="14"/>
      <c r="E571" s="14"/>
    </row>
    <row r="572" ht="13.2" spans="4:5">
      <c r="D572" s="14"/>
      <c r="E572" s="14"/>
    </row>
    <row r="573" ht="13.2" spans="4:5">
      <c r="D573" s="14"/>
      <c r="E573" s="14"/>
    </row>
    <row r="574" ht="13.2" spans="4:5">
      <c r="D574" s="14"/>
      <c r="E574" s="14"/>
    </row>
    <row r="575" ht="13.2" spans="4:5">
      <c r="D575" s="14"/>
      <c r="E575" s="14"/>
    </row>
    <row r="576" ht="13.2" spans="4:5">
      <c r="D576" s="14"/>
      <c r="E576" s="14"/>
    </row>
    <row r="577" ht="13.2" spans="4:5">
      <c r="D577" s="14"/>
      <c r="E577" s="14"/>
    </row>
    <row r="578" ht="13.2" spans="4:5">
      <c r="D578" s="14"/>
      <c r="E578" s="14"/>
    </row>
    <row r="579" ht="13.2" spans="4:5">
      <c r="D579" s="14"/>
      <c r="E579" s="14"/>
    </row>
    <row r="580" ht="13.2" spans="4:5">
      <c r="D580" s="14"/>
      <c r="E580" s="14"/>
    </row>
    <row r="581" ht="13.2" spans="4:5">
      <c r="D581" s="14"/>
      <c r="E581" s="14"/>
    </row>
    <row r="582" ht="13.2" spans="4:5">
      <c r="D582" s="14"/>
      <c r="E582" s="14"/>
    </row>
    <row r="583" ht="13.2" spans="4:5">
      <c r="D583" s="14"/>
      <c r="E583" s="14"/>
    </row>
    <row r="584" ht="13.2" spans="4:5">
      <c r="D584" s="14"/>
      <c r="E584" s="14"/>
    </row>
    <row r="585" ht="13.2" spans="4:5">
      <c r="D585" s="14"/>
      <c r="E585" s="14"/>
    </row>
    <row r="586" ht="13.2" spans="4:5">
      <c r="D586" s="14"/>
      <c r="E586" s="14"/>
    </row>
    <row r="587" ht="13.2" spans="4:5">
      <c r="D587" s="14"/>
      <c r="E587" s="14"/>
    </row>
    <row r="588" ht="13.2" spans="4:5">
      <c r="D588" s="14"/>
      <c r="E588" s="14"/>
    </row>
    <row r="589" ht="13.2" spans="4:5">
      <c r="D589" s="14"/>
      <c r="E589" s="14"/>
    </row>
    <row r="590" ht="13.2" spans="4:5">
      <c r="D590" s="14"/>
      <c r="E590" s="14"/>
    </row>
    <row r="591" ht="13.2" spans="4:5">
      <c r="D591" s="14"/>
      <c r="E591" s="14"/>
    </row>
    <row r="592" ht="13.2" spans="4:5">
      <c r="D592" s="14"/>
      <c r="E592" s="14"/>
    </row>
    <row r="593" ht="13.2" spans="4:5">
      <c r="D593" s="14"/>
      <c r="E593" s="14"/>
    </row>
    <row r="594" ht="13.2" spans="4:5">
      <c r="D594" s="14"/>
      <c r="E594" s="14"/>
    </row>
    <row r="595" ht="13.2" spans="4:5">
      <c r="D595" s="14"/>
      <c r="E595" s="14"/>
    </row>
    <row r="596" ht="13.2" spans="4:5">
      <c r="D596" s="14"/>
      <c r="E596" s="14"/>
    </row>
    <row r="597" ht="13.2" spans="4:5">
      <c r="D597" s="14"/>
      <c r="E597" s="14"/>
    </row>
    <row r="598" ht="13.2" spans="4:5">
      <c r="D598" s="14"/>
      <c r="E598" s="14"/>
    </row>
    <row r="599" ht="13.2" spans="4:5">
      <c r="D599" s="14"/>
      <c r="E599" s="14"/>
    </row>
    <row r="600" ht="13.2" spans="4:5">
      <c r="D600" s="14"/>
      <c r="E600" s="14"/>
    </row>
    <row r="601" ht="13.2" spans="4:5">
      <c r="D601" s="14"/>
      <c r="E601" s="14"/>
    </row>
    <row r="602" ht="13.2" spans="4:5">
      <c r="D602" s="14"/>
      <c r="E602" s="14"/>
    </row>
    <row r="603" ht="13.2" spans="4:5">
      <c r="D603" s="14"/>
      <c r="E603" s="14"/>
    </row>
    <row r="604" ht="13.2" spans="4:5">
      <c r="D604" s="14"/>
      <c r="E604" s="14"/>
    </row>
    <row r="605" ht="13.2" spans="4:5">
      <c r="D605" s="14"/>
      <c r="E605" s="14"/>
    </row>
    <row r="606" ht="13.2" spans="4:5">
      <c r="D606" s="14"/>
      <c r="E606" s="14"/>
    </row>
    <row r="607" ht="13.2" spans="4:5">
      <c r="D607" s="14"/>
      <c r="E607" s="14"/>
    </row>
    <row r="608" ht="13.2" spans="4:5">
      <c r="D608" s="14"/>
      <c r="E608" s="14"/>
    </row>
    <row r="609" ht="13.2" spans="4:5">
      <c r="D609" s="14"/>
      <c r="E609" s="14"/>
    </row>
    <row r="610" ht="13.2" spans="4:5">
      <c r="D610" s="14"/>
      <c r="E610" s="14"/>
    </row>
    <row r="611" ht="13.2" spans="4:5">
      <c r="D611" s="14"/>
      <c r="E611" s="14"/>
    </row>
    <row r="612" ht="13.2" spans="4:5">
      <c r="D612" s="14"/>
      <c r="E612" s="14"/>
    </row>
    <row r="613" ht="13.2" spans="4:5">
      <c r="D613" s="14"/>
      <c r="E613" s="14"/>
    </row>
    <row r="614" ht="13.2" spans="4:5">
      <c r="D614" s="14"/>
      <c r="E614" s="14"/>
    </row>
    <row r="615" ht="13.2" spans="4:5">
      <c r="D615" s="14"/>
      <c r="E615" s="14"/>
    </row>
    <row r="616" ht="13.2" spans="4:5">
      <c r="D616" s="14"/>
      <c r="E616" s="14"/>
    </row>
    <row r="617" ht="13.2" spans="4:5">
      <c r="D617" s="14"/>
      <c r="E617" s="14"/>
    </row>
    <row r="618" ht="13.2" spans="4:5">
      <c r="D618" s="14"/>
      <c r="E618" s="14"/>
    </row>
    <row r="619" ht="13.2" spans="4:5">
      <c r="D619" s="14"/>
      <c r="E619" s="14"/>
    </row>
    <row r="620" ht="13.2" spans="4:5">
      <c r="D620" s="14"/>
      <c r="E620" s="14"/>
    </row>
    <row r="621" ht="13.2" spans="4:5">
      <c r="D621" s="14"/>
      <c r="E621" s="14"/>
    </row>
    <row r="622" ht="13.2" spans="4:5">
      <c r="D622" s="14"/>
      <c r="E622" s="14"/>
    </row>
    <row r="623" ht="13.2" spans="4:5">
      <c r="D623" s="14"/>
      <c r="E623" s="14"/>
    </row>
    <row r="624" ht="13.2" spans="4:5">
      <c r="D624" s="14"/>
      <c r="E624" s="14"/>
    </row>
    <row r="625" ht="13.2" spans="4:5">
      <c r="D625" s="14"/>
      <c r="E625" s="14"/>
    </row>
    <row r="626" ht="13.2" spans="4:5">
      <c r="D626" s="14"/>
      <c r="E626" s="14"/>
    </row>
    <row r="627" ht="13.2" spans="4:5">
      <c r="D627" s="14"/>
      <c r="E627" s="14"/>
    </row>
    <row r="628" ht="13.2" spans="4:5">
      <c r="D628" s="14"/>
      <c r="E628" s="14"/>
    </row>
    <row r="629" ht="13.2" spans="4:5">
      <c r="D629" s="14"/>
      <c r="E629" s="14"/>
    </row>
    <row r="630" ht="13.2" spans="4:5">
      <c r="D630" s="14"/>
      <c r="E630" s="14"/>
    </row>
    <row r="631" ht="13.2" spans="4:5">
      <c r="D631" s="14"/>
      <c r="E631" s="14"/>
    </row>
    <row r="632" ht="13.2" spans="4:5">
      <c r="D632" s="14"/>
      <c r="E632" s="14"/>
    </row>
    <row r="633" ht="13.2" spans="4:5">
      <c r="D633" s="14"/>
      <c r="E633" s="14"/>
    </row>
    <row r="634" ht="13.2" spans="4:5">
      <c r="D634" s="14"/>
      <c r="E634" s="14"/>
    </row>
    <row r="635" ht="13.2" spans="4:5">
      <c r="D635" s="14"/>
      <c r="E635" s="14"/>
    </row>
    <row r="636" ht="13.2" spans="4:5">
      <c r="D636" s="14"/>
      <c r="E636" s="14"/>
    </row>
    <row r="637" ht="13.2" spans="4:5">
      <c r="D637" s="14"/>
      <c r="E637" s="14"/>
    </row>
    <row r="638" ht="13.2" spans="4:5">
      <c r="D638" s="14"/>
      <c r="E638" s="14"/>
    </row>
    <row r="639" ht="13.2" spans="4:5">
      <c r="D639" s="14"/>
      <c r="E639" s="14"/>
    </row>
    <row r="640" ht="13.2" spans="4:5">
      <c r="D640" s="14"/>
      <c r="E640" s="14"/>
    </row>
    <row r="641" ht="13.2" spans="4:5">
      <c r="D641" s="14"/>
      <c r="E641" s="14"/>
    </row>
    <row r="642" ht="13.2" spans="4:5">
      <c r="D642" s="14"/>
      <c r="E642" s="14"/>
    </row>
    <row r="643" ht="13.2" spans="4:5">
      <c r="D643" s="14"/>
      <c r="E643" s="14"/>
    </row>
    <row r="644" ht="13.2" spans="4:5">
      <c r="D644" s="14"/>
      <c r="E644" s="14"/>
    </row>
    <row r="645" ht="13.2" spans="4:5">
      <c r="D645" s="14"/>
      <c r="E645" s="14"/>
    </row>
    <row r="646" ht="13.2" spans="4:5">
      <c r="D646" s="14"/>
      <c r="E646" s="14"/>
    </row>
    <row r="647" ht="13.2" spans="4:5">
      <c r="D647" s="14"/>
      <c r="E647" s="14"/>
    </row>
    <row r="648" ht="13.2" spans="4:5">
      <c r="D648" s="14"/>
      <c r="E648" s="14"/>
    </row>
    <row r="649" ht="13.2" spans="4:5">
      <c r="D649" s="14"/>
      <c r="E649" s="14"/>
    </row>
    <row r="650" ht="13.2" spans="4:5">
      <c r="D650" s="14"/>
      <c r="E650" s="14"/>
    </row>
    <row r="651" ht="13.2" spans="4:5">
      <c r="D651" s="14"/>
      <c r="E651" s="14"/>
    </row>
    <row r="652" ht="13.2" spans="4:5">
      <c r="D652" s="14"/>
      <c r="E652" s="14"/>
    </row>
    <row r="653" ht="13.2" spans="4:5">
      <c r="D653" s="14"/>
      <c r="E653" s="14"/>
    </row>
    <row r="654" ht="13.2" spans="4:5">
      <c r="D654" s="14"/>
      <c r="E654" s="14"/>
    </row>
    <row r="655" ht="13.2" spans="4:5">
      <c r="D655" s="14"/>
      <c r="E655" s="14"/>
    </row>
    <row r="656" ht="13.2" spans="4:5">
      <c r="D656" s="14"/>
      <c r="E656" s="14"/>
    </row>
    <row r="657" ht="13.2" spans="4:5">
      <c r="D657" s="14"/>
      <c r="E657" s="14"/>
    </row>
    <row r="658" ht="13.2" spans="4:5">
      <c r="D658" s="14"/>
      <c r="E658" s="14"/>
    </row>
    <row r="659" ht="13.2" spans="4:5">
      <c r="D659" s="14"/>
      <c r="E659" s="14"/>
    </row>
    <row r="660" ht="13.2" spans="4:5">
      <c r="D660" s="14"/>
      <c r="E660" s="14"/>
    </row>
    <row r="661" ht="13.2" spans="4:5">
      <c r="D661" s="14"/>
      <c r="E661" s="14"/>
    </row>
    <row r="662" ht="13.2" spans="4:5">
      <c r="D662" s="14"/>
      <c r="E662" s="14"/>
    </row>
    <row r="663" ht="13.2" spans="4:5">
      <c r="D663" s="14"/>
      <c r="E663" s="14"/>
    </row>
    <row r="664" ht="13.2" spans="4:5">
      <c r="D664" s="14"/>
      <c r="E664" s="14"/>
    </row>
    <row r="665" ht="13.2" spans="4:5">
      <c r="D665" s="14"/>
      <c r="E665" s="14"/>
    </row>
    <row r="666" ht="13.2" spans="4:5">
      <c r="D666" s="14"/>
      <c r="E666" s="14"/>
    </row>
    <row r="667" ht="13.2" spans="4:5">
      <c r="D667" s="14"/>
      <c r="E667" s="14"/>
    </row>
    <row r="668" ht="13.2" spans="4:5">
      <c r="D668" s="14"/>
      <c r="E668" s="14"/>
    </row>
    <row r="669" ht="13.2" spans="4:5">
      <c r="D669" s="14"/>
      <c r="E669" s="14"/>
    </row>
    <row r="670" ht="13.2" spans="4:5">
      <c r="D670" s="14"/>
      <c r="E670" s="14"/>
    </row>
    <row r="671" ht="13.2" spans="4:5">
      <c r="D671" s="14"/>
      <c r="E671" s="14"/>
    </row>
    <row r="672" ht="13.2" spans="4:5">
      <c r="D672" s="14"/>
      <c r="E672" s="14"/>
    </row>
    <row r="673" ht="13.2" spans="4:5">
      <c r="D673" s="14"/>
      <c r="E673" s="14"/>
    </row>
    <row r="674" ht="13.2" spans="4:5">
      <c r="D674" s="14"/>
      <c r="E674" s="14"/>
    </row>
    <row r="675" ht="13.2" spans="4:5">
      <c r="D675" s="14"/>
      <c r="E675" s="14"/>
    </row>
    <row r="676" ht="13.2" spans="4:5">
      <c r="D676" s="14"/>
      <c r="E676" s="14"/>
    </row>
    <row r="677" ht="13.2" spans="4:5">
      <c r="D677" s="14"/>
      <c r="E677" s="14"/>
    </row>
    <row r="678" ht="13.2" spans="4:5">
      <c r="D678" s="14"/>
      <c r="E678" s="14"/>
    </row>
    <row r="679" ht="13.2" spans="4:5">
      <c r="D679" s="14"/>
      <c r="E679" s="14"/>
    </row>
    <row r="680" ht="13.2" spans="4:5">
      <c r="D680" s="14"/>
      <c r="E680" s="14"/>
    </row>
    <row r="681" ht="13.2" spans="4:5">
      <c r="D681" s="14"/>
      <c r="E681" s="14"/>
    </row>
    <row r="682" ht="13.2" spans="4:5">
      <c r="D682" s="14"/>
      <c r="E682" s="14"/>
    </row>
    <row r="683" ht="13.2" spans="4:5">
      <c r="D683" s="14"/>
      <c r="E683" s="14"/>
    </row>
    <row r="684" ht="13.2" spans="4:5">
      <c r="D684" s="14"/>
      <c r="E684" s="14"/>
    </row>
    <row r="685" ht="13.2" spans="4:5">
      <c r="D685" s="14"/>
      <c r="E685" s="14"/>
    </row>
    <row r="686" ht="13.2" spans="4:5">
      <c r="D686" s="14"/>
      <c r="E686" s="14"/>
    </row>
    <row r="687" ht="13.2" spans="4:5">
      <c r="D687" s="14"/>
      <c r="E687" s="14"/>
    </row>
    <row r="688" ht="13.2" spans="4:5">
      <c r="D688" s="14"/>
      <c r="E688" s="14"/>
    </row>
    <row r="689" ht="13.2" spans="4:5">
      <c r="D689" s="14"/>
      <c r="E689" s="14"/>
    </row>
    <row r="690" ht="13.2" spans="4:5">
      <c r="D690" s="14"/>
      <c r="E690" s="14"/>
    </row>
    <row r="691" ht="13.2" spans="4:5">
      <c r="D691" s="14"/>
      <c r="E691" s="14"/>
    </row>
    <row r="692" ht="13.2" spans="4:5">
      <c r="D692" s="14"/>
      <c r="E692" s="14"/>
    </row>
    <row r="693" ht="13.2" spans="4:5">
      <c r="D693" s="14"/>
      <c r="E693" s="14"/>
    </row>
    <row r="694" ht="13.2" spans="4:5">
      <c r="D694" s="14"/>
      <c r="E694" s="14"/>
    </row>
    <row r="695" ht="13.2" spans="4:5">
      <c r="D695" s="14"/>
      <c r="E695" s="14"/>
    </row>
    <row r="696" ht="13.2" spans="4:5">
      <c r="D696" s="14"/>
      <c r="E696" s="14"/>
    </row>
    <row r="697" ht="13.2" spans="4:5">
      <c r="D697" s="14"/>
      <c r="E697" s="14"/>
    </row>
    <row r="698" ht="13.2" spans="4:5">
      <c r="D698" s="14"/>
      <c r="E698" s="14"/>
    </row>
    <row r="699" ht="13.2" spans="4:5">
      <c r="D699" s="14"/>
      <c r="E699" s="14"/>
    </row>
    <row r="700" ht="13.2" spans="4:5">
      <c r="D700" s="14"/>
      <c r="E700" s="14"/>
    </row>
    <row r="701" ht="13.2" spans="4:5">
      <c r="D701" s="14"/>
      <c r="E701" s="14"/>
    </row>
    <row r="702" ht="13.2" spans="4:5">
      <c r="D702" s="14"/>
      <c r="E702" s="14"/>
    </row>
    <row r="703" ht="13.2" spans="4:5">
      <c r="D703" s="14"/>
      <c r="E703" s="14"/>
    </row>
    <row r="704" ht="13.2" spans="4:5">
      <c r="D704" s="14"/>
      <c r="E704" s="14"/>
    </row>
    <row r="705" ht="13.2" spans="4:5">
      <c r="D705" s="14"/>
      <c r="E705" s="14"/>
    </row>
    <row r="706" ht="13.2" spans="4:5">
      <c r="D706" s="14"/>
      <c r="E706" s="14"/>
    </row>
    <row r="707" ht="13.2" spans="4:5">
      <c r="D707" s="14"/>
      <c r="E707" s="14"/>
    </row>
    <row r="708" ht="13.2" spans="4:5">
      <c r="D708" s="14"/>
      <c r="E708" s="14"/>
    </row>
    <row r="709" ht="13.2" spans="4:5">
      <c r="D709" s="14"/>
      <c r="E709" s="14"/>
    </row>
    <row r="710" ht="13.2" spans="4:5">
      <c r="D710" s="14"/>
      <c r="E710" s="14"/>
    </row>
    <row r="711" ht="13.2" spans="4:5">
      <c r="D711" s="14"/>
      <c r="E711" s="14"/>
    </row>
    <row r="712" ht="13.2" spans="4:5">
      <c r="D712" s="14"/>
      <c r="E712" s="14"/>
    </row>
    <row r="713" ht="13.2" spans="4:5">
      <c r="D713" s="14"/>
      <c r="E713" s="14"/>
    </row>
    <row r="714" ht="13.2" spans="4:5">
      <c r="D714" s="14"/>
      <c r="E714" s="14"/>
    </row>
    <row r="715" ht="13.2" spans="4:5">
      <c r="D715" s="14"/>
      <c r="E715" s="14"/>
    </row>
    <row r="716" ht="13.2" spans="4:5">
      <c r="D716" s="14"/>
      <c r="E716" s="14"/>
    </row>
    <row r="717" ht="13.2" spans="4:5">
      <c r="D717" s="14"/>
      <c r="E717" s="14"/>
    </row>
    <row r="718" ht="13.2" spans="4:5">
      <c r="D718" s="14"/>
      <c r="E718" s="14"/>
    </row>
    <row r="719" ht="13.2" spans="4:5">
      <c r="D719" s="14"/>
      <c r="E719" s="14"/>
    </row>
    <row r="720" ht="13.2" spans="4:5">
      <c r="D720" s="14"/>
      <c r="E720" s="14"/>
    </row>
    <row r="721" ht="13.2" spans="4:5">
      <c r="D721" s="14"/>
      <c r="E721" s="14"/>
    </row>
    <row r="722" ht="13.2" spans="4:5">
      <c r="D722" s="14"/>
      <c r="E722" s="14"/>
    </row>
    <row r="723" ht="13.2" spans="4:5">
      <c r="D723" s="14"/>
      <c r="E723" s="14"/>
    </row>
    <row r="724" ht="13.2" spans="4:5">
      <c r="D724" s="14"/>
      <c r="E724" s="14"/>
    </row>
    <row r="725" ht="13.2" spans="4:5">
      <c r="D725" s="14"/>
      <c r="E725" s="14"/>
    </row>
    <row r="726" ht="13.2" spans="4:5">
      <c r="D726" s="14"/>
      <c r="E726" s="14"/>
    </row>
    <row r="727" ht="13.2" spans="4:5">
      <c r="D727" s="14"/>
      <c r="E727" s="14"/>
    </row>
    <row r="728" ht="13.2" spans="4:5">
      <c r="D728" s="14"/>
      <c r="E728" s="14"/>
    </row>
    <row r="729" ht="13.2" spans="4:5">
      <c r="D729" s="14"/>
      <c r="E729" s="14"/>
    </row>
    <row r="730" ht="13.2" spans="4:5">
      <c r="D730" s="14"/>
      <c r="E730" s="14"/>
    </row>
    <row r="731" ht="13.2" spans="4:5">
      <c r="D731" s="14"/>
      <c r="E731" s="14"/>
    </row>
    <row r="732" ht="13.2" spans="4:5">
      <c r="D732" s="14"/>
      <c r="E732" s="14"/>
    </row>
    <row r="733" ht="13.2" spans="4:5">
      <c r="D733" s="14"/>
      <c r="E733" s="14"/>
    </row>
    <row r="734" ht="13.2" spans="4:5">
      <c r="D734" s="14"/>
      <c r="E734" s="14"/>
    </row>
    <row r="735" ht="13.2" spans="4:5">
      <c r="D735" s="14"/>
      <c r="E735" s="14"/>
    </row>
    <row r="736" ht="13.2" spans="4:5">
      <c r="D736" s="14"/>
      <c r="E736" s="14"/>
    </row>
    <row r="737" ht="13.2" spans="4:5">
      <c r="D737" s="14"/>
      <c r="E737" s="14"/>
    </row>
    <row r="738" ht="13.2" spans="4:5">
      <c r="D738" s="14"/>
      <c r="E738" s="14"/>
    </row>
    <row r="739" ht="13.2" spans="4:5">
      <c r="D739" s="14"/>
      <c r="E739" s="14"/>
    </row>
    <row r="740" ht="13.2" spans="4:5">
      <c r="D740" s="14"/>
      <c r="E740" s="14"/>
    </row>
    <row r="741" ht="13.2" spans="4:5">
      <c r="D741" s="14"/>
      <c r="E741" s="14"/>
    </row>
    <row r="742" ht="13.2" spans="4:5">
      <c r="D742" s="14"/>
      <c r="E742" s="14"/>
    </row>
    <row r="743" ht="13.2" spans="4:5">
      <c r="D743" s="14"/>
      <c r="E743" s="14"/>
    </row>
    <row r="744" ht="13.2" spans="4:5">
      <c r="D744" s="14"/>
      <c r="E744" s="14"/>
    </row>
    <row r="745" ht="13.2" spans="4:5">
      <c r="D745" s="14"/>
      <c r="E745" s="14"/>
    </row>
    <row r="746" ht="13.2" spans="4:5">
      <c r="D746" s="14"/>
      <c r="E746" s="14"/>
    </row>
    <row r="747" ht="13.2" spans="4:5">
      <c r="D747" s="14"/>
      <c r="E747" s="14"/>
    </row>
    <row r="748" ht="13.2" spans="4:5">
      <c r="D748" s="14"/>
      <c r="E748" s="14"/>
    </row>
    <row r="749" ht="13.2" spans="4:5">
      <c r="D749" s="14"/>
      <c r="E749" s="14"/>
    </row>
    <row r="750" ht="13.2" spans="4:5">
      <c r="D750" s="14"/>
      <c r="E750" s="14"/>
    </row>
    <row r="751" ht="13.2" spans="4:5">
      <c r="D751" s="14"/>
      <c r="E751" s="14"/>
    </row>
    <row r="752" ht="13.2" spans="4:5">
      <c r="D752" s="14"/>
      <c r="E752" s="14"/>
    </row>
    <row r="753" ht="13.2" spans="4:5">
      <c r="D753" s="14"/>
      <c r="E753" s="14"/>
    </row>
    <row r="754" ht="13.2" spans="4:5">
      <c r="D754" s="14"/>
      <c r="E754" s="14"/>
    </row>
    <row r="755" ht="13.2" spans="4:5">
      <c r="D755" s="14"/>
      <c r="E755" s="14"/>
    </row>
    <row r="756" ht="13.2" spans="4:5">
      <c r="D756" s="14"/>
      <c r="E756" s="14"/>
    </row>
    <row r="757" ht="13.2" spans="4:5">
      <c r="D757" s="14"/>
      <c r="E757" s="14"/>
    </row>
    <row r="758" ht="13.2" spans="4:5">
      <c r="D758" s="14"/>
      <c r="E758" s="14"/>
    </row>
    <row r="759" ht="13.2" spans="4:5">
      <c r="D759" s="14"/>
      <c r="E759" s="14"/>
    </row>
    <row r="760" ht="13.2" spans="4:5">
      <c r="D760" s="14"/>
      <c r="E760" s="14"/>
    </row>
    <row r="761" ht="13.2" spans="4:5">
      <c r="D761" s="14"/>
      <c r="E761" s="14"/>
    </row>
    <row r="762" ht="13.2" spans="4:5">
      <c r="D762" s="14"/>
      <c r="E762" s="14"/>
    </row>
    <row r="763" ht="13.2" spans="4:5">
      <c r="D763" s="14"/>
      <c r="E763" s="14"/>
    </row>
    <row r="764" ht="13.2" spans="4:5">
      <c r="D764" s="14"/>
      <c r="E764" s="14"/>
    </row>
    <row r="765" ht="13.2" spans="4:5">
      <c r="D765" s="14"/>
      <c r="E765" s="14"/>
    </row>
    <row r="766" ht="13.2" spans="4:5">
      <c r="D766" s="14"/>
      <c r="E766" s="14"/>
    </row>
    <row r="767" ht="13.2" spans="4:5">
      <c r="D767" s="14"/>
      <c r="E767" s="14"/>
    </row>
    <row r="768" ht="13.2" spans="4:5">
      <c r="D768" s="14"/>
      <c r="E768" s="14"/>
    </row>
    <row r="769" ht="13.2" spans="4:5">
      <c r="D769" s="14"/>
      <c r="E769" s="14"/>
    </row>
    <row r="770" ht="13.2" spans="4:5">
      <c r="D770" s="14"/>
      <c r="E770" s="14"/>
    </row>
    <row r="771" ht="13.2" spans="4:5">
      <c r="D771" s="14"/>
      <c r="E771" s="14"/>
    </row>
    <row r="772" ht="13.2" spans="4:5">
      <c r="D772" s="14"/>
      <c r="E772" s="14"/>
    </row>
    <row r="773" ht="13.2" spans="4:5">
      <c r="D773" s="14"/>
      <c r="E773" s="14"/>
    </row>
    <row r="774" ht="13.2" spans="4:5">
      <c r="D774" s="14"/>
      <c r="E774" s="14"/>
    </row>
    <row r="775" ht="13.2" spans="4:5">
      <c r="D775" s="14"/>
      <c r="E775" s="14"/>
    </row>
    <row r="776" ht="13.2" spans="4:5">
      <c r="D776" s="14"/>
      <c r="E776" s="14"/>
    </row>
    <row r="777" ht="13.2" spans="4:5">
      <c r="D777" s="14"/>
      <c r="E777" s="14"/>
    </row>
    <row r="778" ht="13.2" spans="4:5">
      <c r="D778" s="14"/>
      <c r="E778" s="14"/>
    </row>
    <row r="779" ht="13.2" spans="4:5">
      <c r="D779" s="14"/>
      <c r="E779" s="14"/>
    </row>
    <row r="780" ht="13.2" spans="4:5">
      <c r="D780" s="14"/>
      <c r="E780" s="14"/>
    </row>
    <row r="781" ht="13.2" spans="4:5">
      <c r="D781" s="14"/>
      <c r="E781" s="14"/>
    </row>
    <row r="782" ht="13.2" spans="4:5">
      <c r="D782" s="14"/>
      <c r="E782" s="14"/>
    </row>
    <row r="783" ht="13.2" spans="4:5">
      <c r="D783" s="14"/>
      <c r="E783" s="14"/>
    </row>
    <row r="784" ht="13.2" spans="4:5">
      <c r="D784" s="14"/>
      <c r="E784" s="14"/>
    </row>
    <row r="785" ht="13.2" spans="4:5">
      <c r="D785" s="14"/>
      <c r="E785" s="14"/>
    </row>
    <row r="786" ht="13.2" spans="4:5">
      <c r="D786" s="14"/>
      <c r="E786" s="14"/>
    </row>
    <row r="787" ht="13.2" spans="4:5">
      <c r="D787" s="14"/>
      <c r="E787" s="14"/>
    </row>
    <row r="788" ht="13.2" spans="4:5">
      <c r="D788" s="14"/>
      <c r="E788" s="14"/>
    </row>
    <row r="789" ht="13.2" spans="4:5">
      <c r="D789" s="14"/>
      <c r="E789" s="14"/>
    </row>
    <row r="790" ht="13.2" spans="4:5">
      <c r="D790" s="14"/>
      <c r="E790" s="14"/>
    </row>
    <row r="791" ht="13.2" spans="4:5">
      <c r="D791" s="14"/>
      <c r="E791" s="14"/>
    </row>
    <row r="792" ht="13.2" spans="4:5">
      <c r="D792" s="14"/>
      <c r="E792" s="14"/>
    </row>
    <row r="793" ht="13.2" spans="4:5">
      <c r="D793" s="14"/>
      <c r="E793" s="14"/>
    </row>
    <row r="794" ht="13.2" spans="4:5">
      <c r="D794" s="14"/>
      <c r="E794" s="14"/>
    </row>
    <row r="795" ht="13.2" spans="4:5">
      <c r="D795" s="14"/>
      <c r="E795" s="14"/>
    </row>
    <row r="796" ht="13.2" spans="4:5">
      <c r="D796" s="14"/>
      <c r="E796" s="14"/>
    </row>
    <row r="797" ht="13.2" spans="4:5">
      <c r="D797" s="14"/>
      <c r="E797" s="14"/>
    </row>
    <row r="798" ht="13.2" spans="4:5">
      <c r="D798" s="14"/>
      <c r="E798" s="14"/>
    </row>
    <row r="799" ht="13.2" spans="4:5">
      <c r="D799" s="14"/>
      <c r="E799" s="14"/>
    </row>
    <row r="800" ht="13.2" spans="4:5">
      <c r="D800" s="14"/>
      <c r="E800" s="14"/>
    </row>
    <row r="801" ht="13.2" spans="4:5">
      <c r="D801" s="14"/>
      <c r="E801" s="14"/>
    </row>
    <row r="802" ht="13.2" spans="4:5">
      <c r="D802" s="14"/>
      <c r="E802" s="14"/>
    </row>
    <row r="803" ht="13.2" spans="4:5">
      <c r="D803" s="14"/>
      <c r="E803" s="14"/>
    </row>
    <row r="804" ht="13.2" spans="4:5">
      <c r="D804" s="14"/>
      <c r="E804" s="14"/>
    </row>
    <row r="805" ht="13.2" spans="4:5">
      <c r="D805" s="14"/>
      <c r="E805" s="14"/>
    </row>
    <row r="806" ht="13.2" spans="4:5">
      <c r="D806" s="14"/>
      <c r="E806" s="14"/>
    </row>
    <row r="807" ht="13.2" spans="4:5">
      <c r="D807" s="14"/>
      <c r="E807" s="14"/>
    </row>
    <row r="808" ht="13.2" spans="4:5">
      <c r="D808" s="14"/>
      <c r="E808" s="14"/>
    </row>
    <row r="809" ht="13.2" spans="4:5">
      <c r="D809" s="14"/>
      <c r="E809" s="14"/>
    </row>
    <row r="810" ht="13.2" spans="4:5">
      <c r="D810" s="14"/>
      <c r="E810" s="14"/>
    </row>
    <row r="811" ht="13.2" spans="4:5">
      <c r="D811" s="14"/>
      <c r="E811" s="14"/>
    </row>
    <row r="812" ht="13.2" spans="4:5">
      <c r="D812" s="14"/>
      <c r="E812" s="14"/>
    </row>
    <row r="813" ht="13.2" spans="4:5">
      <c r="D813" s="14"/>
      <c r="E813" s="14"/>
    </row>
    <row r="814" ht="13.2" spans="4:5">
      <c r="D814" s="14"/>
      <c r="E814" s="14"/>
    </row>
    <row r="815" ht="13.2" spans="4:5">
      <c r="D815" s="14"/>
      <c r="E815" s="14"/>
    </row>
    <row r="816" ht="13.2" spans="4:5">
      <c r="D816" s="14"/>
      <c r="E816" s="14"/>
    </row>
    <row r="817" ht="13.2" spans="4:5">
      <c r="D817" s="14"/>
      <c r="E817" s="14"/>
    </row>
    <row r="818" ht="13.2" spans="4:5">
      <c r="D818" s="14"/>
      <c r="E818" s="14"/>
    </row>
    <row r="819" ht="13.2" spans="4:5">
      <c r="D819" s="14"/>
      <c r="E819" s="14"/>
    </row>
    <row r="820" ht="13.2" spans="4:5">
      <c r="D820" s="14"/>
      <c r="E820" s="14"/>
    </row>
    <row r="821" ht="13.2" spans="4:5">
      <c r="D821" s="14"/>
      <c r="E821" s="14"/>
    </row>
    <row r="822" ht="13.2" spans="4:5">
      <c r="D822" s="14"/>
      <c r="E822" s="14"/>
    </row>
    <row r="823" ht="13.2" spans="4:5">
      <c r="D823" s="14"/>
      <c r="E823" s="14"/>
    </row>
    <row r="824" ht="13.2" spans="4:5">
      <c r="D824" s="14"/>
      <c r="E824" s="14"/>
    </row>
    <row r="825" ht="13.2" spans="4:5">
      <c r="D825" s="14"/>
      <c r="E825" s="14"/>
    </row>
    <row r="826" ht="13.2" spans="4:5">
      <c r="D826" s="14"/>
      <c r="E826" s="14"/>
    </row>
    <row r="827" ht="13.2" spans="4:5">
      <c r="D827" s="14"/>
      <c r="E827" s="14"/>
    </row>
    <row r="828" ht="13.2" spans="4:5">
      <c r="D828" s="14"/>
      <c r="E828" s="14"/>
    </row>
    <row r="829" ht="13.2" spans="4:5">
      <c r="D829" s="14"/>
      <c r="E829" s="14"/>
    </row>
    <row r="830" ht="13.2" spans="4:5">
      <c r="D830" s="14"/>
      <c r="E830" s="14"/>
    </row>
    <row r="831" ht="13.2" spans="4:5">
      <c r="D831" s="14"/>
      <c r="E831" s="14"/>
    </row>
    <row r="832" ht="13.2" spans="4:5">
      <c r="D832" s="14"/>
      <c r="E832" s="14"/>
    </row>
    <row r="833" ht="13.2" spans="4:5">
      <c r="D833" s="14"/>
      <c r="E833" s="14"/>
    </row>
    <row r="834" ht="13.2" spans="4:5">
      <c r="D834" s="14"/>
      <c r="E834" s="14"/>
    </row>
    <row r="835" ht="13.2" spans="4:5">
      <c r="D835" s="14"/>
      <c r="E835" s="14"/>
    </row>
    <row r="836" ht="13.2" spans="4:5">
      <c r="D836" s="14"/>
      <c r="E836" s="14"/>
    </row>
    <row r="837" ht="13.2" spans="4:5">
      <c r="D837" s="14"/>
      <c r="E837" s="14"/>
    </row>
    <row r="838" ht="13.2" spans="4:5">
      <c r="D838" s="14"/>
      <c r="E838" s="14"/>
    </row>
    <row r="839" ht="13.2" spans="4:5">
      <c r="D839" s="14"/>
      <c r="E839" s="14"/>
    </row>
    <row r="840" ht="13.2" spans="4:5">
      <c r="D840" s="14"/>
      <c r="E840" s="14"/>
    </row>
    <row r="841" ht="13.2" spans="4:5">
      <c r="D841" s="14"/>
      <c r="E841" s="14"/>
    </row>
    <row r="842" ht="13.2" spans="4:5">
      <c r="D842" s="14"/>
      <c r="E842" s="14"/>
    </row>
    <row r="843" ht="13.2" spans="4:5">
      <c r="D843" s="14"/>
      <c r="E843" s="14"/>
    </row>
    <row r="844" ht="13.2" spans="4:5">
      <c r="D844" s="14"/>
      <c r="E844" s="14"/>
    </row>
    <row r="845" ht="13.2" spans="4:5">
      <c r="D845" s="14"/>
      <c r="E845" s="14"/>
    </row>
    <row r="846" ht="13.2" spans="4:5">
      <c r="D846" s="14"/>
      <c r="E846" s="14"/>
    </row>
    <row r="847" ht="13.2" spans="4:5">
      <c r="D847" s="14"/>
      <c r="E847" s="14"/>
    </row>
    <row r="848" ht="13.2" spans="4:5">
      <c r="D848" s="14"/>
      <c r="E848" s="14"/>
    </row>
    <row r="849" ht="13.2" spans="4:5">
      <c r="D849" s="14"/>
      <c r="E849" s="14"/>
    </row>
    <row r="850" ht="13.2" spans="4:5">
      <c r="D850" s="14"/>
      <c r="E850" s="14"/>
    </row>
    <row r="851" ht="13.2" spans="4:5">
      <c r="D851" s="14"/>
      <c r="E851" s="14"/>
    </row>
    <row r="852" ht="13.2" spans="4:5">
      <c r="D852" s="14"/>
      <c r="E852" s="14"/>
    </row>
    <row r="853" ht="13.2" spans="4:5">
      <c r="D853" s="14"/>
      <c r="E853" s="14"/>
    </row>
    <row r="854" ht="13.2" spans="4:5">
      <c r="D854" s="14"/>
      <c r="E854" s="14"/>
    </row>
    <row r="855" ht="13.2" spans="4:5">
      <c r="D855" s="14"/>
      <c r="E855" s="14"/>
    </row>
    <row r="856" ht="13.2" spans="4:5">
      <c r="D856" s="14"/>
      <c r="E856" s="14"/>
    </row>
    <row r="857" ht="13.2" spans="4:5">
      <c r="D857" s="14"/>
      <c r="E857" s="14"/>
    </row>
    <row r="858" ht="13.2" spans="4:5">
      <c r="D858" s="14"/>
      <c r="E858" s="14"/>
    </row>
    <row r="859" ht="13.2" spans="4:5">
      <c r="D859" s="14"/>
      <c r="E859" s="14"/>
    </row>
    <row r="860" ht="13.2" spans="4:5">
      <c r="D860" s="14"/>
      <c r="E860" s="14"/>
    </row>
    <row r="861" ht="13.2" spans="4:5">
      <c r="D861" s="14"/>
      <c r="E861" s="14"/>
    </row>
    <row r="862" ht="13.2" spans="4:5">
      <c r="D862" s="14"/>
      <c r="E862" s="14"/>
    </row>
    <row r="863" ht="13.2" spans="4:5">
      <c r="D863" s="14"/>
      <c r="E863" s="14"/>
    </row>
    <row r="864" ht="13.2" spans="4:5">
      <c r="D864" s="14"/>
      <c r="E864" s="14"/>
    </row>
    <row r="865" ht="13.2" spans="4:5">
      <c r="D865" s="14"/>
      <c r="E865" s="14"/>
    </row>
    <row r="866" ht="13.2" spans="4:5">
      <c r="D866" s="14"/>
      <c r="E866" s="14"/>
    </row>
    <row r="867" ht="13.2" spans="4:5">
      <c r="D867" s="14"/>
      <c r="E867" s="14"/>
    </row>
    <row r="868" ht="13.2" spans="4:5">
      <c r="D868" s="14"/>
      <c r="E868" s="14"/>
    </row>
    <row r="869" ht="13.2" spans="4:5">
      <c r="D869" s="14"/>
      <c r="E869" s="14"/>
    </row>
    <row r="870" ht="13.2" spans="4:5">
      <c r="D870" s="14"/>
      <c r="E870" s="14"/>
    </row>
    <row r="871" ht="13.2" spans="4:5">
      <c r="D871" s="14"/>
      <c r="E871" s="14"/>
    </row>
    <row r="872" ht="13.2" spans="4:5">
      <c r="D872" s="14"/>
      <c r="E872" s="14"/>
    </row>
    <row r="873" ht="13.2" spans="4:5">
      <c r="D873" s="14"/>
      <c r="E873" s="14"/>
    </row>
    <row r="874" ht="13.2" spans="4:5">
      <c r="D874" s="14"/>
      <c r="E874" s="14"/>
    </row>
    <row r="875" ht="13.2" spans="4:5">
      <c r="D875" s="14"/>
      <c r="E875" s="14"/>
    </row>
    <row r="876" ht="13.2" spans="4:5">
      <c r="D876" s="14"/>
      <c r="E876" s="14"/>
    </row>
    <row r="877" ht="13.2" spans="4:5">
      <c r="D877" s="14"/>
      <c r="E877" s="14"/>
    </row>
    <row r="878" ht="13.2" spans="4:5">
      <c r="D878" s="14"/>
      <c r="E878" s="14"/>
    </row>
    <row r="879" ht="13.2" spans="4:5">
      <c r="D879" s="14"/>
      <c r="E879" s="14"/>
    </row>
    <row r="880" ht="13.2" spans="4:5">
      <c r="D880" s="14"/>
      <c r="E880" s="14"/>
    </row>
    <row r="881" ht="13.2" spans="4:5">
      <c r="D881" s="14"/>
      <c r="E881" s="14"/>
    </row>
    <row r="882" ht="13.2" spans="4:5">
      <c r="D882" s="14"/>
      <c r="E882" s="14"/>
    </row>
    <row r="883" ht="13.2" spans="4:5">
      <c r="D883" s="14"/>
      <c r="E883" s="14"/>
    </row>
    <row r="884" ht="13.2" spans="4:5">
      <c r="D884" s="14"/>
      <c r="E884" s="14"/>
    </row>
    <row r="885" ht="13.2" spans="4:5">
      <c r="D885" s="14"/>
      <c r="E885" s="14"/>
    </row>
    <row r="886" ht="13.2" spans="4:5">
      <c r="D886" s="14"/>
      <c r="E886" s="14"/>
    </row>
    <row r="887" ht="13.2" spans="4:5">
      <c r="D887" s="14"/>
      <c r="E887" s="14"/>
    </row>
    <row r="888" ht="13.2" spans="4:5">
      <c r="D888" s="14"/>
      <c r="E888" s="14"/>
    </row>
    <row r="889" ht="13.2" spans="4:5">
      <c r="D889" s="14"/>
      <c r="E889" s="14"/>
    </row>
    <row r="890" ht="13.2" spans="4:5">
      <c r="D890" s="14"/>
      <c r="E890" s="14"/>
    </row>
    <row r="891" ht="13.2" spans="4:5">
      <c r="D891" s="14"/>
      <c r="E891" s="14"/>
    </row>
    <row r="892" ht="13.2" spans="4:5">
      <c r="D892" s="14"/>
      <c r="E892" s="14"/>
    </row>
    <row r="893" ht="13.2" spans="4:5">
      <c r="D893" s="14"/>
      <c r="E893" s="14"/>
    </row>
    <row r="894" ht="13.2" spans="4:5">
      <c r="D894" s="14"/>
      <c r="E894" s="14"/>
    </row>
    <row r="895" ht="13.2" spans="4:5">
      <c r="D895" s="14"/>
      <c r="E895" s="14"/>
    </row>
    <row r="896" ht="13.2" spans="4:5">
      <c r="D896" s="14"/>
      <c r="E896" s="14"/>
    </row>
    <row r="897" ht="13.2" spans="4:5">
      <c r="D897" s="14"/>
      <c r="E897" s="14"/>
    </row>
    <row r="898" ht="13.2" spans="4:5">
      <c r="D898" s="14"/>
      <c r="E898" s="14"/>
    </row>
    <row r="899" ht="13.2" spans="4:5">
      <c r="D899" s="14"/>
      <c r="E899" s="14"/>
    </row>
    <row r="900" ht="13.2" spans="4:5">
      <c r="D900" s="14"/>
      <c r="E900" s="14"/>
    </row>
    <row r="901" ht="13.2" spans="4:5">
      <c r="D901" s="14"/>
      <c r="E901" s="14"/>
    </row>
    <row r="902" ht="13.2" spans="4:5">
      <c r="D902" s="14"/>
      <c r="E902" s="14"/>
    </row>
    <row r="903" ht="13.2" spans="4:5">
      <c r="D903" s="14"/>
      <c r="E903" s="14"/>
    </row>
    <row r="904" ht="13.2" spans="4:5">
      <c r="D904" s="14"/>
      <c r="E904" s="14"/>
    </row>
    <row r="905" ht="13.2" spans="4:5">
      <c r="D905" s="14"/>
      <c r="E905" s="14"/>
    </row>
    <row r="906" ht="13.2" spans="4:5">
      <c r="D906" s="14"/>
      <c r="E906" s="14"/>
    </row>
    <row r="907" ht="13.2" spans="4:5">
      <c r="D907" s="14"/>
      <c r="E907" s="14"/>
    </row>
    <row r="908" ht="13.2" spans="4:5">
      <c r="D908" s="14"/>
      <c r="E908" s="14"/>
    </row>
    <row r="909" ht="13.2" spans="4:5">
      <c r="D909" s="14"/>
      <c r="E909" s="14"/>
    </row>
    <row r="910" ht="13.2" spans="4:5">
      <c r="D910" s="14"/>
      <c r="E910" s="14"/>
    </row>
    <row r="911" ht="13.2" spans="4:5">
      <c r="D911" s="14"/>
      <c r="E911" s="14"/>
    </row>
    <row r="912" ht="13.2" spans="4:5">
      <c r="D912" s="14"/>
      <c r="E912" s="14"/>
    </row>
    <row r="913" ht="13.2" spans="4:5">
      <c r="D913" s="14"/>
      <c r="E913" s="14"/>
    </row>
    <row r="914" ht="13.2" spans="4:5">
      <c r="D914" s="14"/>
      <c r="E914" s="14"/>
    </row>
    <row r="915" ht="13.2" spans="4:5">
      <c r="D915" s="14"/>
      <c r="E915" s="14"/>
    </row>
    <row r="916" ht="13.2" spans="4:5">
      <c r="D916" s="14"/>
      <c r="E916" s="14"/>
    </row>
    <row r="917" ht="13.2" spans="4:5">
      <c r="D917" s="14"/>
      <c r="E917" s="14"/>
    </row>
    <row r="918" ht="13.2" spans="4:5">
      <c r="D918" s="14"/>
      <c r="E918" s="14"/>
    </row>
    <row r="919" ht="13.2" spans="4:5">
      <c r="D919" s="14"/>
      <c r="E919" s="14"/>
    </row>
    <row r="920" ht="13.2" spans="4:5">
      <c r="D920" s="14"/>
      <c r="E920" s="14"/>
    </row>
    <row r="921" ht="13.2" spans="4:5">
      <c r="D921" s="14"/>
      <c r="E921" s="14"/>
    </row>
    <row r="922" ht="13.2" spans="4:5">
      <c r="D922" s="14"/>
      <c r="E922" s="14"/>
    </row>
    <row r="923" ht="13.2" spans="4:5">
      <c r="D923" s="14"/>
      <c r="E923" s="14"/>
    </row>
    <row r="924" ht="13.2" spans="4:5">
      <c r="D924" s="14"/>
      <c r="E924" s="14"/>
    </row>
    <row r="925" ht="13.2" spans="4:5">
      <c r="D925" s="14"/>
      <c r="E925" s="14"/>
    </row>
    <row r="926" ht="13.2" spans="4:5">
      <c r="D926" s="14"/>
      <c r="E926" s="14"/>
    </row>
    <row r="927" ht="13.2" spans="4:5">
      <c r="D927" s="14"/>
      <c r="E927" s="14"/>
    </row>
    <row r="928" ht="13.2" spans="4:5">
      <c r="D928" s="14"/>
      <c r="E928" s="14"/>
    </row>
    <row r="929" ht="13.2" spans="4:5">
      <c r="D929" s="14"/>
      <c r="E929" s="14"/>
    </row>
    <row r="930" ht="13.2" spans="4:5">
      <c r="D930" s="14"/>
      <c r="E930" s="14"/>
    </row>
    <row r="931" ht="13.2" spans="4:5">
      <c r="D931" s="14"/>
      <c r="E931" s="14"/>
    </row>
    <row r="932" ht="13.2" spans="4:5">
      <c r="D932" s="14"/>
      <c r="E932" s="14"/>
    </row>
    <row r="933" ht="13.2" spans="4:5">
      <c r="D933" s="14"/>
      <c r="E933" s="14"/>
    </row>
    <row r="934" ht="13.2" spans="4:5">
      <c r="D934" s="14"/>
      <c r="E934" s="14"/>
    </row>
    <row r="935" ht="13.2" spans="4:5">
      <c r="D935" s="14"/>
      <c r="E935" s="14"/>
    </row>
    <row r="936" ht="13.2" spans="4:5">
      <c r="D936" s="14"/>
      <c r="E936" s="14"/>
    </row>
    <row r="937" ht="13.2" spans="4:5">
      <c r="D937" s="14"/>
      <c r="E937" s="14"/>
    </row>
    <row r="938" ht="13.2" spans="4:5">
      <c r="D938" s="14"/>
      <c r="E938" s="14"/>
    </row>
    <row r="939" ht="13.2" spans="4:5">
      <c r="D939" s="14"/>
      <c r="E939" s="14"/>
    </row>
    <row r="940" ht="13.2" spans="4:5">
      <c r="D940" s="14"/>
      <c r="E940" s="14"/>
    </row>
    <row r="941" ht="13.2" spans="4:5">
      <c r="D941" s="14"/>
      <c r="E941" s="14"/>
    </row>
    <row r="942" ht="13.2" spans="4:5">
      <c r="D942" s="14"/>
      <c r="E942" s="14"/>
    </row>
    <row r="943" ht="13.2" spans="4:5">
      <c r="D943" s="14"/>
      <c r="E943" s="14"/>
    </row>
    <row r="944" ht="13.2" spans="4:5">
      <c r="D944" s="14"/>
      <c r="E944" s="14"/>
    </row>
    <row r="945" ht="13.2" spans="4:5">
      <c r="D945" s="14"/>
      <c r="E945" s="14"/>
    </row>
    <row r="946" ht="13.2" spans="4:5">
      <c r="D946" s="14"/>
      <c r="E946" s="14"/>
    </row>
    <row r="947" ht="13.2" spans="4:5">
      <c r="D947" s="14"/>
      <c r="E947" s="14"/>
    </row>
    <row r="948" ht="13.2" spans="4:5">
      <c r="D948" s="14"/>
      <c r="E948" s="14"/>
    </row>
    <row r="949" ht="13.2" spans="4:5">
      <c r="D949" s="14"/>
      <c r="E949" s="14"/>
    </row>
    <row r="950" ht="13.2" spans="4:5">
      <c r="D950" s="14"/>
      <c r="E950" s="14"/>
    </row>
    <row r="951" ht="13.2" spans="4:5">
      <c r="D951" s="14"/>
      <c r="E951" s="14"/>
    </row>
    <row r="952" ht="13.2" spans="4:5">
      <c r="D952" s="14"/>
      <c r="E952" s="14"/>
    </row>
    <row r="953" ht="13.2" spans="4:5">
      <c r="D953" s="14"/>
      <c r="E953" s="14"/>
    </row>
    <row r="954" ht="13.2" spans="4:5">
      <c r="D954" s="14"/>
      <c r="E954" s="14"/>
    </row>
    <row r="955" ht="13.2" spans="4:5">
      <c r="D955" s="14"/>
      <c r="E955" s="14"/>
    </row>
    <row r="956" ht="13.2" spans="4:5">
      <c r="D956" s="14"/>
      <c r="E956" s="14"/>
    </row>
    <row r="957" ht="13.2" spans="4:5">
      <c r="D957" s="14"/>
      <c r="E957" s="14"/>
    </row>
    <row r="958" ht="13.2" spans="4:5">
      <c r="D958" s="14"/>
      <c r="E958" s="14"/>
    </row>
    <row r="959" ht="13.2" spans="4:5">
      <c r="D959" s="14"/>
      <c r="E959" s="14"/>
    </row>
    <row r="960" ht="13.2" spans="4:5">
      <c r="D960" s="14"/>
      <c r="E960" s="14"/>
    </row>
    <row r="961" ht="13.2" spans="4:5">
      <c r="D961" s="14"/>
      <c r="E961" s="14"/>
    </row>
    <row r="962" ht="13.2" spans="4:5">
      <c r="D962" s="14"/>
      <c r="E962" s="14"/>
    </row>
    <row r="963" ht="13.2" spans="4:5">
      <c r="D963" s="14"/>
      <c r="E963" s="14"/>
    </row>
    <row r="964" ht="13.2" spans="4:5">
      <c r="D964" s="14"/>
      <c r="E964" s="14"/>
    </row>
    <row r="965" ht="13.2" spans="4:5">
      <c r="D965" s="14"/>
      <c r="E965" s="14"/>
    </row>
    <row r="966" ht="13.2" spans="4:5">
      <c r="D966" s="14"/>
      <c r="E966" s="14"/>
    </row>
    <row r="967" ht="13.2" spans="4:5">
      <c r="D967" s="14"/>
      <c r="E967" s="14"/>
    </row>
    <row r="968" ht="13.2" spans="4:5">
      <c r="D968" s="14"/>
      <c r="E968" s="14"/>
    </row>
    <row r="969" ht="13.2" spans="4:5">
      <c r="D969" s="14"/>
      <c r="E969" s="14"/>
    </row>
    <row r="970" ht="13.2" spans="4:5">
      <c r="D970" s="14"/>
      <c r="E970" s="14"/>
    </row>
    <row r="971" ht="13.2" spans="4:5">
      <c r="D971" s="14"/>
      <c r="E971" s="14"/>
    </row>
    <row r="972" ht="13.2" spans="4:5">
      <c r="D972" s="14"/>
      <c r="E972" s="14"/>
    </row>
    <row r="973" ht="13.2" spans="4:5">
      <c r="D973" s="14"/>
      <c r="E973" s="14"/>
    </row>
    <row r="974" ht="13.2" spans="4:5">
      <c r="D974" s="14"/>
      <c r="E974" s="14"/>
    </row>
    <row r="975" ht="13.2" spans="4:5">
      <c r="D975" s="14"/>
      <c r="E975" s="14"/>
    </row>
    <row r="976" ht="13.2" spans="4:5">
      <c r="D976" s="14"/>
      <c r="E976" s="14"/>
    </row>
    <row r="977" ht="13.2" spans="4:5">
      <c r="D977" s="14"/>
      <c r="E977" s="14"/>
    </row>
    <row r="978" ht="13.2" spans="4:5">
      <c r="D978" s="14"/>
      <c r="E978" s="14"/>
    </row>
    <row r="979" ht="13.2" spans="4:5">
      <c r="D979" s="14"/>
      <c r="E979" s="14"/>
    </row>
    <row r="980" ht="13.2" spans="4:5">
      <c r="D980" s="14"/>
      <c r="E980" s="14"/>
    </row>
    <row r="981" ht="13.2" spans="4:5">
      <c r="D981" s="14"/>
      <c r="E981" s="14"/>
    </row>
    <row r="982" ht="13.2" spans="4:5">
      <c r="D982" s="14"/>
      <c r="E982" s="14"/>
    </row>
    <row r="983" ht="13.2" spans="4:5">
      <c r="D983" s="14"/>
      <c r="E983" s="14"/>
    </row>
    <row r="984" ht="13.2" spans="4:5">
      <c r="D984" s="14"/>
      <c r="E984" s="14"/>
    </row>
    <row r="985" ht="13.2" spans="4:5">
      <c r="D985" s="14"/>
      <c r="E985" s="14"/>
    </row>
    <row r="986" ht="13.2" spans="4:5">
      <c r="D986" s="14"/>
      <c r="E986" s="14"/>
    </row>
    <row r="987" ht="13.2" spans="4:5">
      <c r="D987" s="14"/>
      <c r="E987" s="14"/>
    </row>
    <row r="988" ht="13.2" spans="4:5">
      <c r="D988" s="14"/>
      <c r="E988" s="14"/>
    </row>
    <row r="989" ht="13.2" spans="4:5">
      <c r="D989" s="14"/>
      <c r="E989" s="14"/>
    </row>
    <row r="990" ht="13.2" spans="4:5">
      <c r="D990" s="14"/>
      <c r="E990" s="14"/>
    </row>
    <row r="991" ht="13.2" spans="4:5">
      <c r="D991" s="14"/>
      <c r="E991" s="14"/>
    </row>
    <row r="992" ht="13.2" spans="4:5">
      <c r="D992" s="14"/>
      <c r="E992" s="14"/>
    </row>
    <row r="993" ht="13.2" spans="4:5">
      <c r="D993" s="14"/>
      <c r="E993" s="14"/>
    </row>
    <row r="994" ht="13.2" spans="4:5">
      <c r="D994" s="14"/>
      <c r="E994" s="14"/>
    </row>
  </sheetData>
  <mergeCells count="2">
    <mergeCell ref="B2:G2"/>
    <mergeCell ref="B3:G3"/>
  </mergeCells>
  <dataValidations count="1">
    <dataValidation type="custom" allowBlank="1" sqref="F6:G19">
      <formula1>AND(ISNUMBER(F6),(NOT(OR(NOT(ISERROR(DATEVALUE(F6))),AND(ISNUMBER(F6),LEFT(CELL("format",F6))="D")))))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56854"/>
    <outlinePr summaryBelow="0" summaryRight="0"/>
  </sheetPr>
  <dimension ref="B1:F15"/>
  <sheetViews>
    <sheetView showGridLines="0" topLeftCell="A2" workbookViewId="0">
      <selection activeCell="F10" sqref="F10"/>
    </sheetView>
  </sheetViews>
  <sheetFormatPr defaultColWidth="12.5740740740741" defaultRowHeight="15.75" customHeight="1" outlineLevelCol="5"/>
  <cols>
    <col min="1" max="1" width="5.13888888888889" customWidth="1"/>
    <col min="2" max="2" width="19.712962962963" customWidth="1"/>
    <col min="3" max="4" width="38.712962962963" customWidth="1"/>
    <col min="5" max="5" width="34.712962962963" customWidth="1"/>
    <col min="6" max="6" width="31.1388888888889" customWidth="1"/>
    <col min="7" max="7" width="3.13888888888889" customWidth="1"/>
  </cols>
  <sheetData>
    <row r="1" ht="19.2" spans="2:6">
      <c r="B1" s="1"/>
      <c r="C1" s="2"/>
      <c r="D1" s="2"/>
      <c r="E1" s="2"/>
      <c r="F1" s="2"/>
    </row>
    <row r="2" ht="19.2" spans="2:6">
      <c r="B2" s="37" t="s">
        <v>32</v>
      </c>
    </row>
    <row r="3" ht="13.2" spans="2:6">
      <c r="B3" s="4" t="s">
        <v>33</v>
      </c>
    </row>
    <row r="4" ht="13.2" spans="2:6">
      <c r="B4" s="2"/>
      <c r="C4" s="2"/>
      <c r="D4" s="2"/>
      <c r="E4" s="2"/>
      <c r="F4" s="2"/>
    </row>
    <row r="5" ht="22.5" customHeight="1" spans="2:6">
      <c r="B5" s="16" t="s">
        <v>34</v>
      </c>
      <c r="C5" s="16" t="s">
        <v>35</v>
      </c>
      <c r="D5" s="17" t="s">
        <v>36</v>
      </c>
      <c r="E5" s="17" t="s">
        <v>37</v>
      </c>
      <c r="F5" s="17" t="s">
        <v>38</v>
      </c>
    </row>
    <row r="6" ht="22.5" customHeight="1" spans="2:6">
      <c r="B6" s="21" t="s">
        <v>39</v>
      </c>
      <c r="C6" s="21" t="s">
        <v>40</v>
      </c>
      <c r="D6" s="21" t="s">
        <v>41</v>
      </c>
      <c r="E6" s="21" t="s">
        <v>42</v>
      </c>
      <c r="F6" s="23" t="s">
        <v>43</v>
      </c>
    </row>
    <row r="7" ht="22.5" customHeight="1" spans="2:6">
      <c r="B7" s="21" t="s">
        <v>44</v>
      </c>
      <c r="C7" s="21" t="s">
        <v>45</v>
      </c>
      <c r="D7" s="21" t="s">
        <v>46</v>
      </c>
      <c r="E7" s="21" t="s">
        <v>47</v>
      </c>
      <c r="F7" s="23" t="s">
        <v>48</v>
      </c>
    </row>
    <row r="8" ht="22.5" customHeight="1" spans="2:6">
      <c r="B8" s="21" t="s">
        <v>49</v>
      </c>
      <c r="C8" s="21" t="s">
        <v>50</v>
      </c>
      <c r="D8" s="21" t="s">
        <v>51</v>
      </c>
      <c r="E8" s="21" t="s">
        <v>52</v>
      </c>
      <c r="F8" s="23" t="s">
        <v>53</v>
      </c>
    </row>
    <row r="9" ht="22.5" customHeight="1" spans="2:6">
      <c r="B9" s="21" t="s">
        <v>54</v>
      </c>
      <c r="C9" s="21" t="s">
        <v>55</v>
      </c>
      <c r="D9" s="21" t="s">
        <v>56</v>
      </c>
      <c r="E9" s="21" t="s">
        <v>57</v>
      </c>
      <c r="F9" s="23" t="s">
        <v>58</v>
      </c>
    </row>
    <row r="10" ht="22.5" customHeight="1" spans="2:6">
      <c r="B10" s="21"/>
      <c r="C10" s="21"/>
      <c r="D10" s="21"/>
      <c r="E10" s="21"/>
      <c r="F10" s="23"/>
    </row>
    <row r="11" ht="22.5" customHeight="1" spans="2:6">
      <c r="B11" s="21"/>
      <c r="C11" s="21"/>
      <c r="D11" s="21"/>
      <c r="E11" s="21"/>
      <c r="F11" s="23"/>
    </row>
    <row r="12" ht="22.5" customHeight="1" spans="2:6">
      <c r="B12" s="21"/>
      <c r="C12" s="21"/>
      <c r="D12" s="21"/>
      <c r="E12" s="21"/>
      <c r="F12" s="23"/>
    </row>
    <row r="13" ht="22.5" customHeight="1" spans="2:6">
      <c r="B13" s="21"/>
      <c r="C13" s="21"/>
      <c r="D13" s="21"/>
      <c r="E13" s="21"/>
      <c r="F13" s="23"/>
    </row>
    <row r="14" ht="22.5" customHeight="1" spans="2:6">
      <c r="B14" s="21"/>
      <c r="C14" s="21"/>
      <c r="D14" s="21"/>
      <c r="E14" s="21"/>
      <c r="F14" s="23"/>
    </row>
    <row r="15" ht="22.5" customHeight="1" spans="2:6">
      <c r="B15" s="21"/>
      <c r="C15" s="21"/>
      <c r="D15" s="21"/>
      <c r="E15" s="21"/>
      <c r="F15" s="23"/>
    </row>
  </sheetData>
  <mergeCells count="2">
    <mergeCell ref="B2:F2"/>
    <mergeCell ref="B3:F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6524"/>
    <outlinePr summaryBelow="0" summaryRight="0"/>
  </sheetPr>
  <dimension ref="B1:K976"/>
  <sheetViews>
    <sheetView showGridLines="0" workbookViewId="0">
      <selection activeCell="N6" sqref="N6"/>
    </sheetView>
  </sheetViews>
  <sheetFormatPr defaultColWidth="12.5740740740741" defaultRowHeight="15.75" customHeight="1"/>
  <cols>
    <col min="1" max="1" width="5.13888888888889" customWidth="1"/>
    <col min="2" max="2" width="20.4259259259259" customWidth="1"/>
    <col min="3" max="3" width="44.8518518518519" customWidth="1"/>
    <col min="4" max="4" width="20.5740740740741" customWidth="1"/>
    <col min="5" max="5" width="17.287037037037" customWidth="1"/>
    <col min="6" max="6" width="19.5740740740741" customWidth="1"/>
    <col min="7" max="7" width="23.4259259259259" customWidth="1"/>
    <col min="8" max="8" width="33.4259259259259" customWidth="1"/>
    <col min="9" max="9" width="1.28703703703704" hidden="1" customWidth="1"/>
    <col min="10" max="10" width="42.287037037037" hidden="1" customWidth="1"/>
    <col min="11" max="11" width="0.574074074074074" hidden="1" customWidth="1"/>
  </cols>
  <sheetData>
    <row r="1" ht="19.2" spans="2:11">
      <c r="B1" s="1"/>
      <c r="C1" s="2"/>
      <c r="D1" s="2"/>
      <c r="E1" s="2"/>
      <c r="F1" s="2"/>
      <c r="G1" s="14"/>
      <c r="H1" s="2"/>
    </row>
    <row r="2" ht="19.2" spans="2:11">
      <c r="B2" s="15" t="s">
        <v>59</v>
      </c>
      <c r="C2" s="15"/>
      <c r="D2" s="15"/>
      <c r="E2" s="15"/>
      <c r="F2" s="15"/>
      <c r="G2" s="15"/>
      <c r="H2" s="15"/>
    </row>
    <row r="3" ht="13.2" spans="2:11">
      <c r="B3" s="4" t="s">
        <v>60</v>
      </c>
    </row>
    <row r="4" ht="13.2" spans="2:11">
      <c r="B4" s="2"/>
      <c r="C4" s="2"/>
      <c r="D4" s="2"/>
      <c r="E4" s="2"/>
      <c r="F4" s="2"/>
      <c r="G4" s="14"/>
      <c r="H4" s="2"/>
    </row>
    <row r="5" ht="22.5" customHeight="1" spans="2:11">
      <c r="B5" s="16" t="s">
        <v>61</v>
      </c>
      <c r="C5" s="16" t="s">
        <v>62</v>
      </c>
      <c r="D5" s="17" t="s">
        <v>63</v>
      </c>
      <c r="E5" s="17" t="s">
        <v>64</v>
      </c>
      <c r="F5" s="17" t="s">
        <v>65</v>
      </c>
      <c r="G5" s="18" t="s">
        <v>66</v>
      </c>
      <c r="H5" s="18" t="s">
        <v>67</v>
      </c>
      <c r="J5" s="19"/>
    </row>
    <row r="6" ht="48" customHeight="1" spans="2:11">
      <c r="B6" s="20" t="s">
        <v>68</v>
      </c>
      <c r="C6" s="21" t="s">
        <v>69</v>
      </c>
      <c r="D6" s="22">
        <v>35000</v>
      </c>
      <c r="E6" s="23">
        <v>80</v>
      </c>
      <c r="F6" s="24">
        <v>2800000</v>
      </c>
      <c r="G6" s="25" t="s">
        <v>70</v>
      </c>
      <c r="H6" s="20" t="s">
        <v>71</v>
      </c>
    </row>
    <row r="7" ht="44.25" customHeight="1" spans="2:11">
      <c r="B7" s="26" t="s">
        <v>72</v>
      </c>
      <c r="C7" s="26" t="s">
        <v>73</v>
      </c>
      <c r="D7" s="27">
        <v>16000</v>
      </c>
      <c r="E7" s="23">
        <v>120</v>
      </c>
      <c r="F7" s="24">
        <v>1920000</v>
      </c>
      <c r="G7" s="28" t="s">
        <v>74</v>
      </c>
      <c r="H7" s="26" t="s">
        <v>75</v>
      </c>
    </row>
    <row r="8" ht="39" customHeight="1" spans="2:11">
      <c r="B8" s="20" t="s">
        <v>76</v>
      </c>
      <c r="C8" s="20" t="s">
        <v>77</v>
      </c>
      <c r="D8" s="22">
        <v>18000</v>
      </c>
      <c r="E8" s="29">
        <v>90</v>
      </c>
      <c r="F8" s="24">
        <v>1620000</v>
      </c>
      <c r="G8" s="25" t="s">
        <v>78</v>
      </c>
      <c r="H8" s="20" t="s">
        <v>79</v>
      </c>
    </row>
    <row r="9" ht="39.75" customHeight="1" spans="2:11">
      <c r="B9" s="26" t="s">
        <v>80</v>
      </c>
      <c r="C9" s="26" t="s">
        <v>81</v>
      </c>
      <c r="D9" s="27">
        <v>14000</v>
      </c>
      <c r="E9" s="30">
        <v>160</v>
      </c>
      <c r="F9" s="24">
        <v>2240000</v>
      </c>
      <c r="G9" s="28" t="s">
        <v>82</v>
      </c>
      <c r="H9" s="26" t="s">
        <v>83</v>
      </c>
    </row>
    <row r="10" ht="39" customHeight="1" spans="2:11">
      <c r="B10" s="20" t="s">
        <v>84</v>
      </c>
      <c r="C10" s="20" t="s">
        <v>85</v>
      </c>
      <c r="D10" s="22">
        <v>22000</v>
      </c>
      <c r="E10" s="29">
        <v>60</v>
      </c>
      <c r="F10" s="24">
        <v>1320000</v>
      </c>
      <c r="G10" s="25" t="s">
        <v>86</v>
      </c>
      <c r="H10" s="20" t="s">
        <v>87</v>
      </c>
    </row>
    <row r="11" ht="45" customHeight="1" spans="2:11">
      <c r="B11" s="26" t="s">
        <v>88</v>
      </c>
      <c r="C11" s="26" t="s">
        <v>89</v>
      </c>
      <c r="D11" s="27">
        <v>17000</v>
      </c>
      <c r="E11" s="30">
        <v>80</v>
      </c>
      <c r="F11" s="24">
        <v>1360000</v>
      </c>
      <c r="G11" s="28" t="s">
        <v>90</v>
      </c>
      <c r="H11" s="21" t="s">
        <v>91</v>
      </c>
      <c r="K11" s="19" t="s">
        <v>92</v>
      </c>
    </row>
    <row r="12" ht="22.5" customHeight="1" spans="2:11">
      <c r="B12" s="21"/>
      <c r="C12" s="21"/>
      <c r="D12" s="24"/>
      <c r="E12" s="23"/>
      <c r="F12" s="24">
        <f t="shared" ref="F12:F13" si="0">D12*E12</f>
        <v>0</v>
      </c>
      <c r="G12" s="24"/>
      <c r="H12" s="31"/>
      <c r="J12" s="10"/>
    </row>
    <row r="13" ht="22.5" customHeight="1" spans="2:11">
      <c r="B13" s="21"/>
      <c r="C13" s="21"/>
      <c r="D13" s="24"/>
      <c r="E13" s="23"/>
      <c r="F13" s="24">
        <f t="shared" si="0"/>
        <v>0</v>
      </c>
      <c r="G13" s="24"/>
      <c r="H13" s="31"/>
      <c r="J13" s="10"/>
    </row>
    <row r="14" ht="44.25" customHeight="1" spans="2:11">
      <c r="B14" s="32" t="s">
        <v>93</v>
      </c>
      <c r="C14" s="32"/>
      <c r="D14" s="33"/>
      <c r="E14" s="34"/>
      <c r="F14" s="33">
        <f>SUM(F6:F13)</f>
        <v>11260000</v>
      </c>
      <c r="G14" s="33"/>
      <c r="H14" s="35"/>
    </row>
    <row r="15" ht="13.2" spans="2:11">
      <c r="D15" s="36"/>
      <c r="E15" s="36"/>
      <c r="F15" s="36"/>
      <c r="G15" s="14"/>
    </row>
    <row r="16" ht="13.2" spans="2:11">
      <c r="G16" s="14"/>
    </row>
    <row r="17" ht="13.2" spans="7:7">
      <c r="G17" s="14"/>
    </row>
    <row r="18" ht="13.2" spans="7:7">
      <c r="G18" s="14"/>
    </row>
    <row r="19" ht="13.2" spans="7:7">
      <c r="G19" s="14"/>
    </row>
    <row r="20" ht="13.2" spans="7:7">
      <c r="G20" s="14"/>
    </row>
    <row r="21" ht="13.2" spans="7:7">
      <c r="G21" s="14"/>
    </row>
    <row r="22" ht="13.2" spans="7:7">
      <c r="G22" s="14"/>
    </row>
    <row r="23" ht="13.2" spans="7:7">
      <c r="G23" s="14"/>
    </row>
    <row r="24" ht="13.2" spans="7:7">
      <c r="G24" s="14"/>
    </row>
    <row r="25" ht="13.2" spans="7:7">
      <c r="G25" s="14"/>
    </row>
    <row r="26" ht="13.2" spans="7:7">
      <c r="G26" s="14"/>
    </row>
    <row r="27" ht="13.2" spans="7:7">
      <c r="G27" s="14"/>
    </row>
    <row r="28" ht="13.2" spans="7:7">
      <c r="G28" s="14"/>
    </row>
    <row r="29" ht="13.2" spans="7:7">
      <c r="G29" s="14"/>
    </row>
    <row r="30" ht="13.2" spans="7:7">
      <c r="G30" s="14"/>
    </row>
    <row r="31" ht="13.2" spans="7:7">
      <c r="G31" s="14"/>
    </row>
    <row r="32" ht="13.2" spans="7:7">
      <c r="G32" s="14"/>
    </row>
    <row r="33" ht="13.2" spans="7:7">
      <c r="G33" s="14"/>
    </row>
    <row r="34" ht="13.2" spans="7:7">
      <c r="G34" s="14"/>
    </row>
    <row r="35" ht="13.2" spans="7:7">
      <c r="G35" s="14"/>
    </row>
    <row r="36" ht="13.2" spans="7:7">
      <c r="G36" s="14"/>
    </row>
    <row r="37" ht="13.2" spans="7:7">
      <c r="G37" s="14"/>
    </row>
    <row r="38" ht="13.2" spans="7:7">
      <c r="G38" s="14"/>
    </row>
    <row r="39" ht="13.2" spans="7:7">
      <c r="G39" s="14"/>
    </row>
    <row r="40" ht="13.2" spans="7:7">
      <c r="G40" s="14"/>
    </row>
    <row r="41" ht="13.2" spans="7:7">
      <c r="G41" s="14"/>
    </row>
    <row r="42" ht="13.2" spans="7:7">
      <c r="G42" s="14"/>
    </row>
    <row r="43" ht="13.2" spans="7:7">
      <c r="G43" s="14"/>
    </row>
    <row r="44" ht="13.2" spans="7:7">
      <c r="G44" s="14"/>
    </row>
    <row r="45" ht="13.2" spans="7:7">
      <c r="G45" s="14"/>
    </row>
    <row r="46" ht="13.2" spans="7:7">
      <c r="G46" s="14"/>
    </row>
    <row r="47" ht="13.2" spans="7:7">
      <c r="G47" s="14"/>
    </row>
    <row r="48" ht="13.2" spans="7:7">
      <c r="G48" s="14"/>
    </row>
    <row r="49" ht="13.2" spans="7:7">
      <c r="G49" s="14"/>
    </row>
    <row r="50" ht="13.2" spans="7:7">
      <c r="G50" s="14"/>
    </row>
    <row r="51" ht="13.2" spans="7:7">
      <c r="G51" s="14"/>
    </row>
    <row r="52" ht="13.2" spans="7:7">
      <c r="G52" s="14"/>
    </row>
    <row r="53" ht="13.2" spans="7:7">
      <c r="G53" s="14"/>
    </row>
    <row r="54" ht="13.2" spans="7:7">
      <c r="G54" s="14"/>
    </row>
    <row r="55" ht="13.2" spans="7:7">
      <c r="G55" s="14"/>
    </row>
    <row r="56" ht="13.2" spans="7:7">
      <c r="G56" s="14"/>
    </row>
    <row r="57" ht="13.2" spans="7:7">
      <c r="G57" s="14"/>
    </row>
    <row r="58" ht="13.2" spans="7:7">
      <c r="G58" s="14"/>
    </row>
    <row r="59" ht="13.2" spans="7:7">
      <c r="G59" s="14"/>
    </row>
    <row r="60" ht="13.2" spans="7:7">
      <c r="G60" s="14"/>
    </row>
    <row r="61" ht="13.2" spans="7:7">
      <c r="G61" s="14"/>
    </row>
    <row r="62" ht="13.2" spans="7:7">
      <c r="G62" s="14"/>
    </row>
    <row r="63" ht="13.2" spans="7:7">
      <c r="G63" s="14"/>
    </row>
    <row r="64" ht="13.2" spans="7:7">
      <c r="G64" s="14"/>
    </row>
    <row r="65" ht="13.2" spans="7:7">
      <c r="G65" s="14"/>
    </row>
    <row r="66" ht="13.2" spans="7:7">
      <c r="G66" s="14"/>
    </row>
    <row r="67" ht="13.2" spans="7:7">
      <c r="G67" s="14"/>
    </row>
    <row r="68" ht="13.2" spans="7:7">
      <c r="G68" s="14"/>
    </row>
    <row r="69" ht="13.2" spans="7:7">
      <c r="G69" s="14"/>
    </row>
    <row r="70" ht="13.2" spans="7:7">
      <c r="G70" s="14"/>
    </row>
    <row r="71" ht="13.2" spans="7:7">
      <c r="G71" s="14"/>
    </row>
    <row r="72" ht="13.2" spans="7:7">
      <c r="G72" s="14"/>
    </row>
    <row r="73" ht="13.2" spans="7:7">
      <c r="G73" s="14"/>
    </row>
    <row r="74" ht="13.2" spans="7:7">
      <c r="G74" s="14"/>
    </row>
    <row r="75" ht="13.2" spans="7:7">
      <c r="G75" s="14"/>
    </row>
    <row r="76" ht="13.2" spans="7:7">
      <c r="G76" s="14"/>
    </row>
    <row r="77" ht="13.2" spans="7:7">
      <c r="G77" s="14"/>
    </row>
    <row r="78" ht="13.2" spans="7:7">
      <c r="G78" s="14"/>
    </row>
    <row r="79" ht="13.2" spans="7:7">
      <c r="G79" s="14"/>
    </row>
    <row r="80" ht="13.2" spans="7:7">
      <c r="G80" s="14"/>
    </row>
    <row r="81" ht="13.2" spans="7:7">
      <c r="G81" s="14"/>
    </row>
    <row r="82" ht="13.2" spans="7:7">
      <c r="G82" s="14"/>
    </row>
    <row r="83" ht="13.2" spans="7:7">
      <c r="G83" s="14"/>
    </row>
    <row r="84" ht="13.2" spans="7:7">
      <c r="G84" s="14"/>
    </row>
    <row r="85" ht="13.2" spans="7:7">
      <c r="G85" s="14"/>
    </row>
    <row r="86" ht="13.2" spans="7:7">
      <c r="G86" s="14"/>
    </row>
    <row r="87" ht="13.2" spans="7:7">
      <c r="G87" s="14"/>
    </row>
    <row r="88" ht="13.2" spans="7:7">
      <c r="G88" s="14"/>
    </row>
    <row r="89" ht="13.2" spans="7:7">
      <c r="G89" s="14"/>
    </row>
    <row r="90" ht="13.2" spans="7:7">
      <c r="G90" s="14"/>
    </row>
    <row r="91" ht="13.2" spans="7:7">
      <c r="G91" s="14"/>
    </row>
    <row r="92" ht="13.2" spans="7:7">
      <c r="G92" s="14"/>
    </row>
    <row r="93" ht="13.2" spans="7:7">
      <c r="G93" s="14"/>
    </row>
    <row r="94" ht="13.2" spans="7:7">
      <c r="G94" s="14"/>
    </row>
    <row r="95" ht="13.2" spans="7:7">
      <c r="G95" s="14"/>
    </row>
    <row r="96" ht="13.2" spans="7:7">
      <c r="G96" s="14"/>
    </row>
    <row r="97" ht="13.2" spans="7:7">
      <c r="G97" s="14"/>
    </row>
    <row r="98" ht="13.2" spans="7:7">
      <c r="G98" s="14"/>
    </row>
    <row r="99" ht="13.2" spans="7:7">
      <c r="G99" s="14"/>
    </row>
    <row r="100" ht="13.2" spans="7:7">
      <c r="G100" s="14"/>
    </row>
    <row r="101" ht="13.2" spans="7:7">
      <c r="G101" s="14"/>
    </row>
    <row r="102" ht="13.2" spans="7:7">
      <c r="G102" s="14"/>
    </row>
    <row r="103" ht="13.2" spans="7:7">
      <c r="G103" s="14"/>
    </row>
    <row r="104" ht="13.2" spans="7:7">
      <c r="G104" s="14"/>
    </row>
    <row r="105" ht="13.2" spans="7:7">
      <c r="G105" s="14"/>
    </row>
    <row r="106" ht="13.2" spans="7:7">
      <c r="G106" s="14"/>
    </row>
    <row r="107" ht="13.2" spans="7:7">
      <c r="G107" s="14"/>
    </row>
    <row r="108" ht="13.2" spans="7:7">
      <c r="G108" s="14"/>
    </row>
    <row r="109" ht="13.2" spans="7:7">
      <c r="G109" s="14"/>
    </row>
    <row r="110" ht="13.2" spans="7:7">
      <c r="G110" s="14"/>
    </row>
    <row r="111" ht="13.2" spans="7:7">
      <c r="G111" s="14"/>
    </row>
    <row r="112" ht="13.2" spans="7:7">
      <c r="G112" s="14"/>
    </row>
    <row r="113" ht="13.2" spans="7:7">
      <c r="G113" s="14"/>
    </row>
    <row r="114" ht="13.2" spans="7:7">
      <c r="G114" s="14"/>
    </row>
    <row r="115" ht="13.2" spans="7:7">
      <c r="G115" s="14"/>
    </row>
    <row r="116" ht="13.2" spans="7:7">
      <c r="G116" s="14"/>
    </row>
    <row r="117" ht="13.2" spans="7:7">
      <c r="G117" s="14"/>
    </row>
    <row r="118" ht="13.2" spans="7:7">
      <c r="G118" s="14"/>
    </row>
    <row r="119" ht="13.2" spans="7:7">
      <c r="G119" s="14"/>
    </row>
    <row r="120" ht="13.2" spans="7:7">
      <c r="G120" s="14"/>
    </row>
    <row r="121" ht="13.2" spans="7:7">
      <c r="G121" s="14"/>
    </row>
    <row r="122" ht="13.2" spans="7:7">
      <c r="G122" s="14"/>
    </row>
    <row r="123" ht="13.2" spans="7:7">
      <c r="G123" s="14"/>
    </row>
    <row r="124" ht="13.2" spans="7:7">
      <c r="G124" s="14"/>
    </row>
    <row r="125" ht="13.2" spans="7:7">
      <c r="G125" s="14"/>
    </row>
    <row r="126" ht="13.2" spans="7:7">
      <c r="G126" s="14"/>
    </row>
    <row r="127" ht="13.2" spans="7:7">
      <c r="G127" s="14"/>
    </row>
    <row r="128" ht="13.2" spans="7:7">
      <c r="G128" s="14"/>
    </row>
    <row r="129" ht="13.2" spans="7:7">
      <c r="G129" s="14"/>
    </row>
    <row r="130" ht="13.2" spans="7:7">
      <c r="G130" s="14"/>
    </row>
    <row r="131" ht="13.2" spans="7:7">
      <c r="G131" s="14"/>
    </row>
    <row r="132" ht="13.2" spans="7:7">
      <c r="G132" s="14"/>
    </row>
    <row r="133" ht="13.2" spans="7:7">
      <c r="G133" s="14"/>
    </row>
    <row r="134" ht="13.2" spans="7:7">
      <c r="G134" s="14"/>
    </row>
    <row r="135" ht="13.2" spans="7:7">
      <c r="G135" s="14"/>
    </row>
    <row r="136" ht="13.2" spans="7:7">
      <c r="G136" s="14"/>
    </row>
    <row r="137" ht="13.2" spans="7:7">
      <c r="G137" s="14"/>
    </row>
    <row r="138" ht="13.2" spans="7:7">
      <c r="G138" s="14"/>
    </row>
    <row r="139" ht="13.2" spans="7:7">
      <c r="G139" s="14"/>
    </row>
    <row r="140" ht="13.2" spans="7:7">
      <c r="G140" s="14"/>
    </row>
    <row r="141" ht="13.2" spans="7:7">
      <c r="G141" s="14"/>
    </row>
    <row r="142" ht="13.2" spans="7:7">
      <c r="G142" s="14"/>
    </row>
    <row r="143" ht="13.2" spans="7:7">
      <c r="G143" s="14"/>
    </row>
    <row r="144" ht="13.2" spans="7:7">
      <c r="G144" s="14"/>
    </row>
    <row r="145" ht="13.2" spans="7:7">
      <c r="G145" s="14"/>
    </row>
    <row r="146" ht="13.2" spans="7:7">
      <c r="G146" s="14"/>
    </row>
    <row r="147" ht="13.2" spans="7:7">
      <c r="G147" s="14"/>
    </row>
    <row r="148" ht="13.2" spans="7:7">
      <c r="G148" s="14"/>
    </row>
    <row r="149" ht="13.2" spans="7:7">
      <c r="G149" s="14"/>
    </row>
    <row r="150" ht="13.2" spans="7:7">
      <c r="G150" s="14"/>
    </row>
    <row r="151" ht="13.2" spans="7:7">
      <c r="G151" s="14"/>
    </row>
    <row r="152" ht="13.2" spans="7:7">
      <c r="G152" s="14"/>
    </row>
    <row r="153" ht="13.2" spans="7:7">
      <c r="G153" s="14"/>
    </row>
    <row r="154" ht="13.2" spans="7:7">
      <c r="G154" s="14"/>
    </row>
    <row r="155" ht="13.2" spans="7:7">
      <c r="G155" s="14"/>
    </row>
    <row r="156" ht="13.2" spans="7:7">
      <c r="G156" s="14"/>
    </row>
    <row r="157" ht="13.2" spans="7:7">
      <c r="G157" s="14"/>
    </row>
    <row r="158" ht="13.2" spans="7:7">
      <c r="G158" s="14"/>
    </row>
    <row r="159" ht="13.2" spans="7:7">
      <c r="G159" s="14"/>
    </row>
    <row r="160" ht="13.2" spans="7:7">
      <c r="G160" s="14"/>
    </row>
    <row r="161" ht="13.2" spans="7:7">
      <c r="G161" s="14"/>
    </row>
    <row r="162" ht="13.2" spans="7:7">
      <c r="G162" s="14"/>
    </row>
    <row r="163" ht="13.2" spans="7:7">
      <c r="G163" s="14"/>
    </row>
    <row r="164" ht="13.2" spans="7:7">
      <c r="G164" s="14"/>
    </row>
    <row r="165" ht="13.2" spans="7:7">
      <c r="G165" s="14"/>
    </row>
    <row r="166" ht="13.2" spans="7:7">
      <c r="G166" s="14"/>
    </row>
    <row r="167" ht="13.2" spans="7:7">
      <c r="G167" s="14"/>
    </row>
    <row r="168" ht="13.2" spans="7:7">
      <c r="G168" s="14"/>
    </row>
    <row r="169" ht="13.2" spans="7:7">
      <c r="G169" s="14"/>
    </row>
    <row r="170" ht="13.2" spans="7:7">
      <c r="G170" s="14"/>
    </row>
    <row r="171" ht="13.2" spans="7:7">
      <c r="G171" s="14"/>
    </row>
    <row r="172" ht="13.2" spans="7:7">
      <c r="G172" s="14"/>
    </row>
    <row r="173" ht="13.2" spans="7:7">
      <c r="G173" s="14"/>
    </row>
    <row r="174" ht="13.2" spans="7:7">
      <c r="G174" s="14"/>
    </row>
    <row r="175" ht="13.2" spans="7:7">
      <c r="G175" s="14"/>
    </row>
    <row r="176" ht="13.2" spans="7:7">
      <c r="G176" s="14"/>
    </row>
    <row r="177" ht="13.2" spans="7:7">
      <c r="G177" s="14"/>
    </row>
    <row r="178" ht="13.2" spans="7:7">
      <c r="G178" s="14"/>
    </row>
    <row r="179" ht="13.2" spans="7:7">
      <c r="G179" s="14"/>
    </row>
    <row r="180" ht="13.2" spans="7:7">
      <c r="G180" s="14"/>
    </row>
    <row r="181" ht="13.2" spans="7:7">
      <c r="G181" s="14"/>
    </row>
    <row r="182" ht="13.2" spans="7:7">
      <c r="G182" s="14"/>
    </row>
    <row r="183" ht="13.2" spans="7:7">
      <c r="G183" s="14"/>
    </row>
    <row r="184" ht="13.2" spans="7:7">
      <c r="G184" s="14"/>
    </row>
    <row r="185" ht="13.2" spans="7:7">
      <c r="G185" s="14"/>
    </row>
    <row r="186" ht="13.2" spans="7:7">
      <c r="G186" s="14"/>
    </row>
    <row r="187" ht="13.2" spans="7:7">
      <c r="G187" s="14"/>
    </row>
    <row r="188" ht="13.2" spans="7:7">
      <c r="G188" s="14"/>
    </row>
    <row r="189" ht="13.2" spans="7:7">
      <c r="G189" s="14"/>
    </row>
    <row r="190" ht="13.2" spans="7:7">
      <c r="G190" s="14"/>
    </row>
    <row r="191" ht="13.2" spans="7:7">
      <c r="G191" s="14"/>
    </row>
    <row r="192" ht="13.2" spans="7:7">
      <c r="G192" s="14"/>
    </row>
    <row r="193" ht="13.2" spans="7:7">
      <c r="G193" s="14"/>
    </row>
    <row r="194" ht="13.2" spans="7:7">
      <c r="G194" s="14"/>
    </row>
    <row r="195" ht="13.2" spans="7:7">
      <c r="G195" s="14"/>
    </row>
    <row r="196" ht="13.2" spans="7:7">
      <c r="G196" s="14"/>
    </row>
    <row r="197" ht="13.2" spans="7:7">
      <c r="G197" s="14"/>
    </row>
    <row r="198" ht="13.2" spans="7:7">
      <c r="G198" s="14"/>
    </row>
    <row r="199" ht="13.2" spans="7:7">
      <c r="G199" s="14"/>
    </row>
    <row r="200" ht="13.2" spans="7:7">
      <c r="G200" s="14"/>
    </row>
    <row r="201" ht="13.2" spans="7:7">
      <c r="G201" s="14"/>
    </row>
    <row r="202" ht="13.2" spans="7:7">
      <c r="G202" s="14"/>
    </row>
    <row r="203" ht="13.2" spans="7:7">
      <c r="G203" s="14"/>
    </row>
    <row r="204" ht="13.2" spans="7:7">
      <c r="G204" s="14"/>
    </row>
    <row r="205" ht="13.2" spans="7:7">
      <c r="G205" s="14"/>
    </row>
    <row r="206" ht="13.2" spans="7:7">
      <c r="G206" s="14"/>
    </row>
    <row r="207" ht="13.2" spans="7:7">
      <c r="G207" s="14"/>
    </row>
    <row r="208" ht="13.2" spans="7:7">
      <c r="G208" s="14"/>
    </row>
    <row r="209" ht="13.2" spans="7:7">
      <c r="G209" s="14"/>
    </row>
    <row r="210" ht="13.2" spans="7:7">
      <c r="G210" s="14"/>
    </row>
    <row r="211" ht="13.2" spans="7:7">
      <c r="G211" s="14"/>
    </row>
    <row r="212" ht="13.2" spans="7:7">
      <c r="G212" s="14"/>
    </row>
    <row r="213" ht="13.2" spans="7:7">
      <c r="G213" s="14"/>
    </row>
    <row r="214" ht="13.2" spans="7:7">
      <c r="G214" s="14"/>
    </row>
    <row r="215" ht="13.2" spans="7:7">
      <c r="G215" s="14"/>
    </row>
    <row r="216" ht="13.2" spans="7:7">
      <c r="G216" s="14"/>
    </row>
    <row r="217" ht="13.2" spans="7:7">
      <c r="G217" s="14"/>
    </row>
    <row r="218" ht="13.2" spans="7:7">
      <c r="G218" s="14"/>
    </row>
    <row r="219" ht="13.2" spans="7:7">
      <c r="G219" s="14"/>
    </row>
    <row r="220" ht="13.2" spans="7:7">
      <c r="G220" s="14"/>
    </row>
    <row r="221" ht="13.2" spans="7:7">
      <c r="G221" s="14"/>
    </row>
    <row r="222" ht="13.2" spans="7:7">
      <c r="G222" s="14"/>
    </row>
    <row r="223" ht="13.2" spans="7:7">
      <c r="G223" s="14"/>
    </row>
    <row r="224" ht="13.2" spans="7:7">
      <c r="G224" s="14"/>
    </row>
    <row r="225" ht="13.2" spans="7:7">
      <c r="G225" s="14"/>
    </row>
    <row r="226" ht="13.2" spans="7:7">
      <c r="G226" s="14"/>
    </row>
    <row r="227" ht="13.2" spans="7:7">
      <c r="G227" s="14"/>
    </row>
    <row r="228" ht="13.2" spans="7:7">
      <c r="G228" s="14"/>
    </row>
    <row r="229" ht="13.2" spans="7:7">
      <c r="G229" s="14"/>
    </row>
    <row r="230" ht="13.2" spans="7:7">
      <c r="G230" s="14"/>
    </row>
    <row r="231" ht="13.2" spans="7:7">
      <c r="G231" s="14"/>
    </row>
    <row r="232" ht="13.2" spans="7:7">
      <c r="G232" s="14"/>
    </row>
    <row r="233" ht="13.2" spans="7:7">
      <c r="G233" s="14"/>
    </row>
    <row r="234" ht="13.2" spans="7:7">
      <c r="G234" s="14"/>
    </row>
    <row r="235" ht="13.2" spans="7:7">
      <c r="G235" s="14"/>
    </row>
    <row r="236" ht="13.2" spans="7:7">
      <c r="G236" s="14"/>
    </row>
    <row r="237" ht="13.2" spans="7:7">
      <c r="G237" s="14"/>
    </row>
    <row r="238" ht="13.2" spans="7:7">
      <c r="G238" s="14"/>
    </row>
    <row r="239" ht="13.2" spans="7:7">
      <c r="G239" s="14"/>
    </row>
    <row r="240" ht="13.2" spans="7:7">
      <c r="G240" s="14"/>
    </row>
    <row r="241" ht="13.2" spans="7:7">
      <c r="G241" s="14"/>
    </row>
    <row r="242" ht="13.2" spans="7:7">
      <c r="G242" s="14"/>
    </row>
    <row r="243" ht="13.2" spans="7:7">
      <c r="G243" s="14"/>
    </row>
    <row r="244" ht="13.2" spans="7:7">
      <c r="G244" s="14"/>
    </row>
    <row r="245" ht="13.2" spans="7:7">
      <c r="G245" s="14"/>
    </row>
    <row r="246" ht="13.2" spans="7:7">
      <c r="G246" s="14"/>
    </row>
    <row r="247" ht="13.2" spans="7:7">
      <c r="G247" s="14"/>
    </row>
    <row r="248" ht="13.2" spans="7:7">
      <c r="G248" s="14"/>
    </row>
    <row r="249" ht="13.2" spans="7:7">
      <c r="G249" s="14"/>
    </row>
    <row r="250" ht="13.2" spans="7:7">
      <c r="G250" s="14"/>
    </row>
    <row r="251" ht="13.2" spans="7:7">
      <c r="G251" s="14"/>
    </row>
    <row r="252" ht="13.2" spans="7:7">
      <c r="G252" s="14"/>
    </row>
    <row r="253" ht="13.2" spans="7:7">
      <c r="G253" s="14"/>
    </row>
    <row r="254" ht="13.2" spans="7:7">
      <c r="G254" s="14"/>
    </row>
    <row r="255" ht="13.2" spans="7:7">
      <c r="G255" s="14"/>
    </row>
    <row r="256" ht="13.2" spans="7:7">
      <c r="G256" s="14"/>
    </row>
    <row r="257" ht="13.2" spans="7:7">
      <c r="G257" s="14"/>
    </row>
    <row r="258" ht="13.2" spans="7:7">
      <c r="G258" s="14"/>
    </row>
    <row r="259" ht="13.2" spans="7:7">
      <c r="G259" s="14"/>
    </row>
    <row r="260" ht="13.2" spans="7:7">
      <c r="G260" s="14"/>
    </row>
    <row r="261" ht="13.2" spans="7:7">
      <c r="G261" s="14"/>
    </row>
    <row r="262" ht="13.2" spans="7:7">
      <c r="G262" s="14"/>
    </row>
    <row r="263" ht="13.2" spans="7:7">
      <c r="G263" s="14"/>
    </row>
    <row r="264" ht="13.2" spans="7:7">
      <c r="G264" s="14"/>
    </row>
    <row r="265" ht="13.2" spans="7:7">
      <c r="G265" s="14"/>
    </row>
    <row r="266" ht="13.2" spans="7:7">
      <c r="G266" s="14"/>
    </row>
    <row r="267" ht="13.2" spans="7:7">
      <c r="G267" s="14"/>
    </row>
    <row r="268" ht="13.2" spans="7:7">
      <c r="G268" s="14"/>
    </row>
    <row r="269" ht="13.2" spans="7:7">
      <c r="G269" s="14"/>
    </row>
    <row r="270" ht="13.2" spans="7:7">
      <c r="G270" s="14"/>
    </row>
    <row r="271" ht="13.2" spans="7:7">
      <c r="G271" s="14"/>
    </row>
    <row r="272" ht="13.2" spans="7:7">
      <c r="G272" s="14"/>
    </row>
    <row r="273" ht="13.2" spans="7:7">
      <c r="G273" s="14"/>
    </row>
    <row r="274" ht="13.2" spans="7:7">
      <c r="G274" s="14"/>
    </row>
    <row r="275" ht="13.2" spans="7:7">
      <c r="G275" s="14"/>
    </row>
    <row r="276" ht="13.2" spans="7:7">
      <c r="G276" s="14"/>
    </row>
    <row r="277" ht="13.2" spans="7:7">
      <c r="G277" s="14"/>
    </row>
    <row r="278" ht="13.2" spans="7:7">
      <c r="G278" s="14"/>
    </row>
    <row r="279" ht="13.2" spans="7:7">
      <c r="G279" s="14"/>
    </row>
    <row r="280" ht="13.2" spans="7:7">
      <c r="G280" s="14"/>
    </row>
    <row r="281" ht="13.2" spans="7:7">
      <c r="G281" s="14"/>
    </row>
    <row r="282" ht="13.2" spans="7:7">
      <c r="G282" s="14"/>
    </row>
    <row r="283" ht="13.2" spans="7:7">
      <c r="G283" s="14"/>
    </row>
    <row r="284" ht="13.2" spans="7:7">
      <c r="G284" s="14"/>
    </row>
    <row r="285" ht="13.2" spans="7:7">
      <c r="G285" s="14"/>
    </row>
    <row r="286" ht="13.2" spans="7:7">
      <c r="G286" s="14"/>
    </row>
    <row r="287" ht="13.2" spans="7:7">
      <c r="G287" s="14"/>
    </row>
    <row r="288" ht="13.2" spans="7:7">
      <c r="G288" s="14"/>
    </row>
    <row r="289" ht="13.2" spans="7:7">
      <c r="G289" s="14"/>
    </row>
    <row r="290" ht="13.2" spans="7:7">
      <c r="G290" s="14"/>
    </row>
    <row r="291" ht="13.2" spans="7:7">
      <c r="G291" s="14"/>
    </row>
    <row r="292" ht="13.2" spans="7:7">
      <c r="G292" s="14"/>
    </row>
    <row r="293" ht="13.2" spans="7:7">
      <c r="G293" s="14"/>
    </row>
    <row r="294" ht="13.2" spans="7:7">
      <c r="G294" s="14"/>
    </row>
    <row r="295" ht="13.2" spans="7:7">
      <c r="G295" s="14"/>
    </row>
    <row r="296" ht="13.2" spans="7:7">
      <c r="G296" s="14"/>
    </row>
    <row r="297" ht="13.2" spans="7:7">
      <c r="G297" s="14"/>
    </row>
    <row r="298" ht="13.2" spans="7:7">
      <c r="G298" s="14"/>
    </row>
    <row r="299" ht="13.2" spans="7:7">
      <c r="G299" s="14"/>
    </row>
    <row r="300" ht="13.2" spans="7:7">
      <c r="G300" s="14"/>
    </row>
    <row r="301" ht="13.2" spans="7:7">
      <c r="G301" s="14"/>
    </row>
    <row r="302" ht="13.2" spans="7:7">
      <c r="G302" s="14"/>
    </row>
    <row r="303" ht="13.2" spans="7:7">
      <c r="G303" s="14"/>
    </row>
    <row r="304" ht="13.2" spans="7:7">
      <c r="G304" s="14"/>
    </row>
    <row r="305" ht="13.2" spans="7:7">
      <c r="G305" s="14"/>
    </row>
    <row r="306" ht="13.2" spans="7:7">
      <c r="G306" s="14"/>
    </row>
    <row r="307" ht="13.2" spans="7:7">
      <c r="G307" s="14"/>
    </row>
    <row r="308" ht="13.2" spans="7:7">
      <c r="G308" s="14"/>
    </row>
    <row r="309" ht="13.2" spans="7:7">
      <c r="G309" s="14"/>
    </row>
    <row r="310" ht="13.2" spans="7:7">
      <c r="G310" s="14"/>
    </row>
    <row r="311" ht="13.2" spans="7:7">
      <c r="G311" s="14"/>
    </row>
    <row r="312" ht="13.2" spans="7:7">
      <c r="G312" s="14"/>
    </row>
    <row r="313" ht="13.2" spans="7:7">
      <c r="G313" s="14"/>
    </row>
    <row r="314" ht="13.2" spans="7:7">
      <c r="G314" s="14"/>
    </row>
    <row r="315" ht="13.2" spans="7:7">
      <c r="G315" s="14"/>
    </row>
    <row r="316" ht="13.2" spans="7:7">
      <c r="G316" s="14"/>
    </row>
    <row r="317" ht="13.2" spans="7:7">
      <c r="G317" s="14"/>
    </row>
    <row r="318" ht="13.2" spans="7:7">
      <c r="G318" s="14"/>
    </row>
    <row r="319" ht="13.2" spans="7:7">
      <c r="G319" s="14"/>
    </row>
    <row r="320" ht="13.2" spans="7:7">
      <c r="G320" s="14"/>
    </row>
    <row r="321" ht="13.2" spans="7:7">
      <c r="G321" s="14"/>
    </row>
    <row r="322" ht="13.2" spans="7:7">
      <c r="G322" s="14"/>
    </row>
    <row r="323" ht="13.2" spans="7:7">
      <c r="G323" s="14"/>
    </row>
    <row r="324" ht="13.2" spans="7:7">
      <c r="G324" s="14"/>
    </row>
    <row r="325" ht="13.2" spans="7:7">
      <c r="G325" s="14"/>
    </row>
    <row r="326" ht="13.2" spans="7:7">
      <c r="G326" s="14"/>
    </row>
    <row r="327" ht="13.2" spans="7:7">
      <c r="G327" s="14"/>
    </row>
    <row r="328" ht="13.2" spans="7:7">
      <c r="G328" s="14"/>
    </row>
    <row r="329" ht="13.2" spans="7:7">
      <c r="G329" s="14"/>
    </row>
    <row r="330" ht="13.2" spans="7:7">
      <c r="G330" s="14"/>
    </row>
    <row r="331" ht="13.2" spans="7:7">
      <c r="G331" s="14"/>
    </row>
    <row r="332" ht="13.2" spans="7:7">
      <c r="G332" s="14"/>
    </row>
    <row r="333" ht="13.2" spans="7:7">
      <c r="G333" s="14"/>
    </row>
    <row r="334" ht="13.2" spans="7:7">
      <c r="G334" s="14"/>
    </row>
    <row r="335" ht="13.2" spans="7:7">
      <c r="G335" s="14"/>
    </row>
    <row r="336" ht="13.2" spans="7:7">
      <c r="G336" s="14"/>
    </row>
    <row r="337" ht="13.2" spans="7:7">
      <c r="G337" s="14"/>
    </row>
    <row r="338" ht="13.2" spans="7:7">
      <c r="G338" s="14"/>
    </row>
    <row r="339" ht="13.2" spans="7:7">
      <c r="G339" s="14"/>
    </row>
    <row r="340" ht="13.2" spans="7:7">
      <c r="G340" s="14"/>
    </row>
    <row r="341" ht="13.2" spans="7:7">
      <c r="G341" s="14"/>
    </row>
    <row r="342" ht="13.2" spans="7:7">
      <c r="G342" s="14"/>
    </row>
    <row r="343" ht="13.2" spans="7:7">
      <c r="G343" s="14"/>
    </row>
    <row r="344" ht="13.2" spans="7:7">
      <c r="G344" s="14"/>
    </row>
    <row r="345" ht="13.2" spans="7:7">
      <c r="G345" s="14"/>
    </row>
    <row r="346" ht="13.2" spans="7:7">
      <c r="G346" s="14"/>
    </row>
    <row r="347" ht="13.2" spans="7:7">
      <c r="G347" s="14"/>
    </row>
    <row r="348" ht="13.2" spans="7:7">
      <c r="G348" s="14"/>
    </row>
    <row r="349" ht="13.2" spans="7:7">
      <c r="G349" s="14"/>
    </row>
    <row r="350" ht="13.2" spans="7:7">
      <c r="G350" s="14"/>
    </row>
    <row r="351" ht="13.2" spans="7:7">
      <c r="G351" s="14"/>
    </row>
    <row r="352" ht="13.2" spans="7:7">
      <c r="G352" s="14"/>
    </row>
    <row r="353" ht="13.2" spans="7:7">
      <c r="G353" s="14"/>
    </row>
    <row r="354" ht="13.2" spans="7:7">
      <c r="G354" s="14"/>
    </row>
    <row r="355" ht="13.2" spans="7:7">
      <c r="G355" s="14"/>
    </row>
    <row r="356" ht="13.2" spans="7:7">
      <c r="G356" s="14"/>
    </row>
    <row r="357" ht="13.2" spans="7:7">
      <c r="G357" s="14"/>
    </row>
    <row r="358" ht="13.2" spans="7:7">
      <c r="G358" s="14"/>
    </row>
    <row r="359" ht="13.2" spans="7:7">
      <c r="G359" s="14"/>
    </row>
    <row r="360" ht="13.2" spans="7:7">
      <c r="G360" s="14"/>
    </row>
    <row r="361" ht="13.2" spans="7:7">
      <c r="G361" s="14"/>
    </row>
    <row r="362" ht="13.2" spans="7:7">
      <c r="G362" s="14"/>
    </row>
    <row r="363" ht="13.2" spans="7:7">
      <c r="G363" s="14"/>
    </row>
    <row r="364" ht="13.2" spans="7:7">
      <c r="G364" s="14"/>
    </row>
    <row r="365" ht="13.2" spans="7:7">
      <c r="G365" s="14"/>
    </row>
    <row r="366" ht="13.2" spans="7:7">
      <c r="G366" s="14"/>
    </row>
    <row r="367" ht="13.2" spans="7:7">
      <c r="G367" s="14"/>
    </row>
    <row r="368" ht="13.2" spans="7:7">
      <c r="G368" s="14"/>
    </row>
    <row r="369" ht="13.2" spans="7:7">
      <c r="G369" s="14"/>
    </row>
    <row r="370" ht="13.2" spans="7:7">
      <c r="G370" s="14"/>
    </row>
    <row r="371" ht="13.2" spans="7:7">
      <c r="G371" s="14"/>
    </row>
    <row r="372" ht="13.2" spans="7:7">
      <c r="G372" s="14"/>
    </row>
    <row r="373" ht="13.2" spans="7:7">
      <c r="G373" s="14"/>
    </row>
    <row r="374" ht="13.2" spans="7:7">
      <c r="G374" s="14"/>
    </row>
    <row r="375" ht="13.2" spans="7:7">
      <c r="G375" s="14"/>
    </row>
    <row r="376" ht="13.2" spans="7:7">
      <c r="G376" s="14"/>
    </row>
    <row r="377" ht="13.2" spans="7:7">
      <c r="G377" s="14"/>
    </row>
    <row r="378" ht="13.2" spans="7:7">
      <c r="G378" s="14"/>
    </row>
    <row r="379" ht="13.2" spans="7:7">
      <c r="G379" s="14"/>
    </row>
    <row r="380" ht="13.2" spans="7:7">
      <c r="G380" s="14"/>
    </row>
    <row r="381" ht="13.2" spans="7:7">
      <c r="G381" s="14"/>
    </row>
    <row r="382" ht="13.2" spans="7:7">
      <c r="G382" s="14"/>
    </row>
    <row r="383" ht="13.2" spans="7:7">
      <c r="G383" s="14"/>
    </row>
    <row r="384" ht="13.2" spans="7:7">
      <c r="G384" s="14"/>
    </row>
    <row r="385" ht="13.2" spans="7:7">
      <c r="G385" s="14"/>
    </row>
    <row r="386" ht="13.2" spans="7:7">
      <c r="G386" s="14"/>
    </row>
    <row r="387" ht="13.2" spans="7:7">
      <c r="G387" s="14"/>
    </row>
    <row r="388" ht="13.2" spans="7:7">
      <c r="G388" s="14"/>
    </row>
    <row r="389" ht="13.2" spans="7:7">
      <c r="G389" s="14"/>
    </row>
    <row r="390" ht="13.2" spans="7:7">
      <c r="G390" s="14"/>
    </row>
    <row r="391" ht="13.2" spans="7:7">
      <c r="G391" s="14"/>
    </row>
    <row r="392" ht="13.2" spans="7:7">
      <c r="G392" s="14"/>
    </row>
    <row r="393" ht="13.2" spans="7:7">
      <c r="G393" s="14"/>
    </row>
    <row r="394" ht="13.2" spans="7:7">
      <c r="G394" s="14"/>
    </row>
    <row r="395" ht="13.2" spans="7:7">
      <c r="G395" s="14"/>
    </row>
    <row r="396" ht="13.2" spans="7:7">
      <c r="G396" s="14"/>
    </row>
    <row r="397" ht="13.2" spans="7:7">
      <c r="G397" s="14"/>
    </row>
    <row r="398" ht="13.2" spans="7:7">
      <c r="G398" s="14"/>
    </row>
    <row r="399" ht="13.2" spans="7:7">
      <c r="G399" s="14"/>
    </row>
    <row r="400" ht="13.2" spans="7:7">
      <c r="G400" s="14"/>
    </row>
    <row r="401" ht="13.2" spans="7:7">
      <c r="G401" s="14"/>
    </row>
    <row r="402" ht="13.2" spans="7:7">
      <c r="G402" s="14"/>
    </row>
    <row r="403" ht="13.2" spans="7:7">
      <c r="G403" s="14"/>
    </row>
    <row r="404" ht="13.2" spans="7:7">
      <c r="G404" s="14"/>
    </row>
    <row r="405" ht="13.2" spans="7:7">
      <c r="G405" s="14"/>
    </row>
    <row r="406" ht="13.2" spans="7:7">
      <c r="G406" s="14"/>
    </row>
    <row r="407" ht="13.2" spans="7:7">
      <c r="G407" s="14"/>
    </row>
    <row r="408" ht="13.2" spans="7:7">
      <c r="G408" s="14"/>
    </row>
    <row r="409" ht="13.2" spans="7:7">
      <c r="G409" s="14"/>
    </row>
    <row r="410" ht="13.2" spans="7:7">
      <c r="G410" s="14"/>
    </row>
    <row r="411" ht="13.2" spans="7:7">
      <c r="G411" s="14"/>
    </row>
    <row r="412" ht="13.2" spans="7:7">
      <c r="G412" s="14"/>
    </row>
    <row r="413" ht="13.2" spans="7:7">
      <c r="G413" s="14"/>
    </row>
    <row r="414" ht="13.2" spans="7:7">
      <c r="G414" s="14"/>
    </row>
    <row r="415" ht="13.2" spans="7:7">
      <c r="G415" s="14"/>
    </row>
    <row r="416" ht="13.2" spans="7:7">
      <c r="G416" s="14"/>
    </row>
    <row r="417" ht="13.2" spans="7:7">
      <c r="G417" s="14"/>
    </row>
    <row r="418" ht="13.2" spans="7:7">
      <c r="G418" s="14"/>
    </row>
    <row r="419" ht="13.2" spans="7:7">
      <c r="G419" s="14"/>
    </row>
    <row r="420" ht="13.2" spans="7:7">
      <c r="G420" s="14"/>
    </row>
    <row r="421" ht="13.2" spans="7:7">
      <c r="G421" s="14"/>
    </row>
    <row r="422" ht="13.2" spans="7:7">
      <c r="G422" s="14"/>
    </row>
    <row r="423" ht="13.2" spans="7:7">
      <c r="G423" s="14"/>
    </row>
    <row r="424" ht="13.2" spans="7:7">
      <c r="G424" s="14"/>
    </row>
    <row r="425" ht="13.2" spans="7:7">
      <c r="G425" s="14"/>
    </row>
    <row r="426" ht="13.2" spans="7:7">
      <c r="G426" s="14"/>
    </row>
    <row r="427" ht="13.2" spans="7:7">
      <c r="G427" s="14"/>
    </row>
    <row r="428" ht="13.2" spans="7:7">
      <c r="G428" s="14"/>
    </row>
    <row r="429" ht="13.2" spans="7:7">
      <c r="G429" s="14"/>
    </row>
    <row r="430" ht="13.2" spans="7:7">
      <c r="G430" s="14"/>
    </row>
    <row r="431" ht="13.2" spans="7:7">
      <c r="G431" s="14"/>
    </row>
    <row r="432" ht="13.2" spans="7:7">
      <c r="G432" s="14"/>
    </row>
    <row r="433" ht="13.2" spans="7:7">
      <c r="G433" s="14"/>
    </row>
    <row r="434" ht="13.2" spans="7:7">
      <c r="G434" s="14"/>
    </row>
    <row r="435" ht="13.2" spans="7:7">
      <c r="G435" s="14"/>
    </row>
    <row r="436" ht="13.2" spans="7:7">
      <c r="G436" s="14"/>
    </row>
    <row r="437" ht="13.2" spans="7:7">
      <c r="G437" s="14"/>
    </row>
    <row r="438" ht="13.2" spans="7:7">
      <c r="G438" s="14"/>
    </row>
    <row r="439" ht="13.2" spans="7:7">
      <c r="G439" s="14"/>
    </row>
    <row r="440" ht="13.2" spans="7:7">
      <c r="G440" s="14"/>
    </row>
    <row r="441" ht="13.2" spans="7:7">
      <c r="G441" s="14"/>
    </row>
    <row r="442" ht="13.2" spans="7:7">
      <c r="G442" s="14"/>
    </row>
    <row r="443" ht="13.2" spans="7:7">
      <c r="G443" s="14"/>
    </row>
    <row r="444" ht="13.2" spans="7:7">
      <c r="G444" s="14"/>
    </row>
    <row r="445" ht="13.2" spans="7:7">
      <c r="G445" s="14"/>
    </row>
    <row r="446" ht="13.2" spans="7:7">
      <c r="G446" s="14"/>
    </row>
    <row r="447" ht="13.2" spans="7:7">
      <c r="G447" s="14"/>
    </row>
    <row r="448" ht="13.2" spans="7:7">
      <c r="G448" s="14"/>
    </row>
    <row r="449" ht="13.2" spans="7:7">
      <c r="G449" s="14"/>
    </row>
    <row r="450" ht="13.2" spans="7:7">
      <c r="G450" s="14"/>
    </row>
    <row r="451" ht="13.2" spans="7:7">
      <c r="G451" s="14"/>
    </row>
    <row r="452" ht="13.2" spans="7:7">
      <c r="G452" s="14"/>
    </row>
    <row r="453" ht="13.2" spans="7:7">
      <c r="G453" s="14"/>
    </row>
    <row r="454" ht="13.2" spans="7:7">
      <c r="G454" s="14"/>
    </row>
    <row r="455" ht="13.2" spans="7:7">
      <c r="G455" s="14"/>
    </row>
    <row r="456" ht="13.2" spans="7:7">
      <c r="G456" s="14"/>
    </row>
    <row r="457" ht="13.2" spans="7:7">
      <c r="G457" s="14"/>
    </row>
    <row r="458" ht="13.2" spans="7:7">
      <c r="G458" s="14"/>
    </row>
    <row r="459" ht="13.2" spans="7:7">
      <c r="G459" s="14"/>
    </row>
    <row r="460" ht="13.2" spans="7:7">
      <c r="G460" s="14"/>
    </row>
    <row r="461" ht="13.2" spans="7:7">
      <c r="G461" s="14"/>
    </row>
    <row r="462" ht="13.2" spans="7:7">
      <c r="G462" s="14"/>
    </row>
    <row r="463" ht="13.2" spans="7:7">
      <c r="G463" s="14"/>
    </row>
    <row r="464" ht="13.2" spans="7:7">
      <c r="G464" s="14"/>
    </row>
    <row r="465" ht="13.2" spans="7:7">
      <c r="G465" s="14"/>
    </row>
    <row r="466" ht="13.2" spans="7:7">
      <c r="G466" s="14"/>
    </row>
    <row r="467" ht="13.2" spans="7:7">
      <c r="G467" s="14"/>
    </row>
    <row r="468" ht="13.2" spans="7:7">
      <c r="G468" s="14"/>
    </row>
    <row r="469" ht="13.2" spans="7:7">
      <c r="G469" s="14"/>
    </row>
    <row r="470" ht="13.2" spans="7:7">
      <c r="G470" s="14"/>
    </row>
    <row r="471" ht="13.2" spans="7:7">
      <c r="G471" s="14"/>
    </row>
    <row r="472" ht="13.2" spans="7:7">
      <c r="G472" s="14"/>
    </row>
    <row r="473" ht="13.2" spans="7:7">
      <c r="G473" s="14"/>
    </row>
    <row r="474" ht="13.2" spans="7:7">
      <c r="G474" s="14"/>
    </row>
    <row r="475" ht="13.2" spans="7:7">
      <c r="G475" s="14"/>
    </row>
    <row r="476" ht="13.2" spans="7:7">
      <c r="G476" s="14"/>
    </row>
    <row r="477" ht="13.2" spans="7:7">
      <c r="G477" s="14"/>
    </row>
    <row r="478" ht="13.2" spans="7:7">
      <c r="G478" s="14"/>
    </row>
    <row r="479" ht="13.2" spans="7:7">
      <c r="G479" s="14"/>
    </row>
    <row r="480" ht="13.2" spans="7:7">
      <c r="G480" s="14"/>
    </row>
    <row r="481" ht="13.2" spans="7:7">
      <c r="G481" s="14"/>
    </row>
    <row r="482" ht="13.2" spans="7:7">
      <c r="G482" s="14"/>
    </row>
    <row r="483" ht="13.2" spans="7:7">
      <c r="G483" s="14"/>
    </row>
    <row r="484" ht="13.2" spans="7:7">
      <c r="G484" s="14"/>
    </row>
    <row r="485" ht="13.2" spans="7:7">
      <c r="G485" s="14"/>
    </row>
    <row r="486" ht="13.2" spans="7:7">
      <c r="G486" s="14"/>
    </row>
    <row r="487" ht="13.2" spans="7:7">
      <c r="G487" s="14"/>
    </row>
    <row r="488" ht="13.2" spans="7:7">
      <c r="G488" s="14"/>
    </row>
    <row r="489" ht="13.2" spans="7:7">
      <c r="G489" s="14"/>
    </row>
    <row r="490" ht="13.2" spans="7:7">
      <c r="G490" s="14"/>
    </row>
    <row r="491" ht="13.2" spans="7:7">
      <c r="G491" s="14"/>
    </row>
    <row r="492" ht="13.2" spans="7:7">
      <c r="G492" s="14"/>
    </row>
    <row r="493" ht="13.2" spans="7:7">
      <c r="G493" s="14"/>
    </row>
    <row r="494" ht="13.2" spans="7:7">
      <c r="G494" s="14"/>
    </row>
    <row r="495" ht="13.2" spans="7:7">
      <c r="G495" s="14"/>
    </row>
    <row r="496" ht="13.2" spans="7:7">
      <c r="G496" s="14"/>
    </row>
    <row r="497" ht="13.2" spans="7:7">
      <c r="G497" s="14"/>
    </row>
    <row r="498" ht="13.2" spans="7:7">
      <c r="G498" s="14"/>
    </row>
    <row r="499" ht="13.2" spans="7:7">
      <c r="G499" s="14"/>
    </row>
    <row r="500" ht="13.2" spans="7:7">
      <c r="G500" s="14"/>
    </row>
    <row r="501" ht="13.2" spans="7:7">
      <c r="G501" s="14"/>
    </row>
    <row r="502" ht="13.2" spans="7:7">
      <c r="G502" s="14"/>
    </row>
    <row r="503" ht="13.2" spans="7:7">
      <c r="G503" s="14"/>
    </row>
    <row r="504" ht="13.2" spans="7:7">
      <c r="G504" s="14"/>
    </row>
    <row r="505" ht="13.2" spans="7:7">
      <c r="G505" s="14"/>
    </row>
    <row r="506" ht="13.2" spans="7:7">
      <c r="G506" s="14"/>
    </row>
    <row r="507" ht="13.2" spans="7:7">
      <c r="G507" s="14"/>
    </row>
    <row r="508" ht="13.2" spans="7:7">
      <c r="G508" s="14"/>
    </row>
    <row r="509" ht="13.2" spans="7:7">
      <c r="G509" s="14"/>
    </row>
    <row r="510" ht="13.2" spans="7:7">
      <c r="G510" s="14"/>
    </row>
    <row r="511" ht="13.2" spans="7:7">
      <c r="G511" s="14"/>
    </row>
    <row r="512" ht="13.2" spans="7:7">
      <c r="G512" s="14"/>
    </row>
    <row r="513" ht="13.2" spans="7:7">
      <c r="G513" s="14"/>
    </row>
    <row r="514" ht="13.2" spans="7:7">
      <c r="G514" s="14"/>
    </row>
    <row r="515" ht="13.2" spans="7:7">
      <c r="G515" s="14"/>
    </row>
    <row r="516" ht="13.2" spans="7:7">
      <c r="G516" s="14"/>
    </row>
    <row r="517" ht="13.2" spans="7:7">
      <c r="G517" s="14"/>
    </row>
    <row r="518" ht="13.2" spans="7:7">
      <c r="G518" s="14"/>
    </row>
    <row r="519" ht="13.2" spans="7:7">
      <c r="G519" s="14"/>
    </row>
    <row r="520" ht="13.2" spans="7:7">
      <c r="G520" s="14"/>
    </row>
    <row r="521" ht="13.2" spans="7:7">
      <c r="G521" s="14"/>
    </row>
    <row r="522" ht="13.2" spans="7:7">
      <c r="G522" s="14"/>
    </row>
    <row r="523" ht="13.2" spans="7:7">
      <c r="G523" s="14"/>
    </row>
    <row r="524" ht="13.2" spans="7:7">
      <c r="G524" s="14"/>
    </row>
    <row r="525" ht="13.2" spans="7:7">
      <c r="G525" s="14"/>
    </row>
    <row r="526" ht="13.2" spans="7:7">
      <c r="G526" s="14"/>
    </row>
    <row r="527" ht="13.2" spans="7:7">
      <c r="G527" s="14"/>
    </row>
    <row r="528" ht="13.2" spans="7:7">
      <c r="G528" s="14"/>
    </row>
    <row r="529" ht="13.2" spans="7:7">
      <c r="G529" s="14"/>
    </row>
    <row r="530" ht="13.2" spans="7:7">
      <c r="G530" s="14"/>
    </row>
    <row r="531" ht="13.2" spans="7:7">
      <c r="G531" s="14"/>
    </row>
    <row r="532" ht="13.2" spans="7:7">
      <c r="G532" s="14"/>
    </row>
    <row r="533" ht="13.2" spans="7:7">
      <c r="G533" s="14"/>
    </row>
    <row r="534" ht="13.2" spans="7:7">
      <c r="G534" s="14"/>
    </row>
    <row r="535" ht="13.2" spans="7:7">
      <c r="G535" s="14"/>
    </row>
    <row r="536" ht="13.2" spans="7:7">
      <c r="G536" s="14"/>
    </row>
    <row r="537" ht="13.2" spans="7:7">
      <c r="G537" s="14"/>
    </row>
    <row r="538" ht="13.2" spans="7:7">
      <c r="G538" s="14"/>
    </row>
    <row r="539" ht="13.2" spans="7:7">
      <c r="G539" s="14"/>
    </row>
    <row r="540" ht="13.2" spans="7:7">
      <c r="G540" s="14"/>
    </row>
    <row r="541" ht="13.2" spans="7:7">
      <c r="G541" s="14"/>
    </row>
    <row r="542" ht="13.2" spans="7:7">
      <c r="G542" s="14"/>
    </row>
    <row r="543" ht="13.2" spans="7:7">
      <c r="G543" s="14"/>
    </row>
    <row r="544" ht="13.2" spans="7:7">
      <c r="G544" s="14"/>
    </row>
    <row r="545" ht="13.2" spans="7:7">
      <c r="G545" s="14"/>
    </row>
    <row r="546" ht="13.2" spans="7:7">
      <c r="G546" s="14"/>
    </row>
    <row r="547" ht="13.2" spans="7:7">
      <c r="G547" s="14"/>
    </row>
    <row r="548" ht="13.2" spans="7:7">
      <c r="G548" s="14"/>
    </row>
    <row r="549" ht="13.2" spans="7:7">
      <c r="G549" s="14"/>
    </row>
    <row r="550" ht="13.2" spans="7:7">
      <c r="G550" s="14"/>
    </row>
    <row r="551" ht="13.2" spans="7:7">
      <c r="G551" s="14"/>
    </row>
    <row r="552" ht="13.2" spans="7:7">
      <c r="G552" s="14"/>
    </row>
    <row r="553" ht="13.2" spans="7:7">
      <c r="G553" s="14"/>
    </row>
    <row r="554" ht="13.2" spans="7:7">
      <c r="G554" s="14"/>
    </row>
    <row r="555" ht="13.2" spans="7:7">
      <c r="G555" s="14"/>
    </row>
    <row r="556" ht="13.2" spans="7:7">
      <c r="G556" s="14"/>
    </row>
    <row r="557" ht="13.2" spans="7:7">
      <c r="G557" s="14"/>
    </row>
    <row r="558" ht="13.2" spans="7:7">
      <c r="G558" s="14"/>
    </row>
    <row r="559" ht="13.2" spans="7:7">
      <c r="G559" s="14"/>
    </row>
    <row r="560" ht="13.2" spans="7:7">
      <c r="G560" s="14"/>
    </row>
    <row r="561" ht="13.2" spans="7:7">
      <c r="G561" s="14"/>
    </row>
    <row r="562" ht="13.2" spans="7:7">
      <c r="G562" s="14"/>
    </row>
    <row r="563" ht="13.2" spans="7:7">
      <c r="G563" s="14"/>
    </row>
    <row r="564" ht="13.2" spans="7:7">
      <c r="G564" s="14"/>
    </row>
    <row r="565" ht="13.2" spans="7:7">
      <c r="G565" s="14"/>
    </row>
    <row r="566" ht="13.2" spans="7:7">
      <c r="G566" s="14"/>
    </row>
    <row r="567" ht="13.2" spans="7:7">
      <c r="G567" s="14"/>
    </row>
    <row r="568" ht="13.2" spans="7:7">
      <c r="G568" s="14"/>
    </row>
    <row r="569" ht="13.2" spans="7:7">
      <c r="G569" s="14"/>
    </row>
    <row r="570" ht="13.2" spans="7:7">
      <c r="G570" s="14"/>
    </row>
    <row r="571" ht="13.2" spans="7:7">
      <c r="G571" s="14"/>
    </row>
    <row r="572" ht="13.2" spans="7:7">
      <c r="G572" s="14"/>
    </row>
    <row r="573" ht="13.2" spans="7:7">
      <c r="G573" s="14"/>
    </row>
    <row r="574" ht="13.2" spans="7:7">
      <c r="G574" s="14"/>
    </row>
    <row r="575" ht="13.2" spans="7:7">
      <c r="G575" s="14"/>
    </row>
    <row r="576" ht="13.2" spans="7:7">
      <c r="G576" s="14"/>
    </row>
    <row r="577" ht="13.2" spans="7:7">
      <c r="G577" s="14"/>
    </row>
    <row r="578" ht="13.2" spans="7:7">
      <c r="G578" s="14"/>
    </row>
    <row r="579" ht="13.2" spans="7:7">
      <c r="G579" s="14"/>
    </row>
    <row r="580" ht="13.2" spans="7:7">
      <c r="G580" s="14"/>
    </row>
    <row r="581" ht="13.2" spans="7:7">
      <c r="G581" s="14"/>
    </row>
    <row r="582" ht="13.2" spans="7:7">
      <c r="G582" s="14"/>
    </row>
    <row r="583" ht="13.2" spans="7:7">
      <c r="G583" s="14"/>
    </row>
    <row r="584" ht="13.2" spans="7:7">
      <c r="G584" s="14"/>
    </row>
    <row r="585" ht="13.2" spans="7:7">
      <c r="G585" s="14"/>
    </row>
    <row r="586" ht="13.2" spans="7:7">
      <c r="G586" s="14"/>
    </row>
    <row r="587" ht="13.2" spans="7:7">
      <c r="G587" s="14"/>
    </row>
    <row r="588" ht="13.2" spans="7:7">
      <c r="G588" s="14"/>
    </row>
    <row r="589" ht="13.2" spans="7:7">
      <c r="G589" s="14"/>
    </row>
    <row r="590" ht="13.2" spans="7:7">
      <c r="G590" s="14"/>
    </row>
    <row r="591" ht="13.2" spans="7:7">
      <c r="G591" s="14"/>
    </row>
    <row r="592" ht="13.2" spans="7:7">
      <c r="G592" s="14"/>
    </row>
    <row r="593" ht="13.2" spans="7:7">
      <c r="G593" s="14"/>
    </row>
    <row r="594" ht="13.2" spans="7:7">
      <c r="G594" s="14"/>
    </row>
    <row r="595" ht="13.2" spans="7:7">
      <c r="G595" s="14"/>
    </row>
    <row r="596" ht="13.2" spans="7:7">
      <c r="G596" s="14"/>
    </row>
    <row r="597" ht="13.2" spans="7:7">
      <c r="G597" s="14"/>
    </row>
    <row r="598" ht="13.2" spans="7:7">
      <c r="G598" s="14"/>
    </row>
    <row r="599" ht="13.2" spans="7:7">
      <c r="G599" s="14"/>
    </row>
    <row r="600" ht="13.2" spans="7:7">
      <c r="G600" s="14"/>
    </row>
    <row r="601" ht="13.2" spans="7:7">
      <c r="G601" s="14"/>
    </row>
    <row r="602" ht="13.2" spans="7:7">
      <c r="G602" s="14"/>
    </row>
    <row r="603" ht="13.2" spans="7:7">
      <c r="G603" s="14"/>
    </row>
    <row r="604" ht="13.2" spans="7:7">
      <c r="G604" s="14"/>
    </row>
    <row r="605" ht="13.2" spans="7:7">
      <c r="G605" s="14"/>
    </row>
    <row r="606" ht="13.2" spans="7:7">
      <c r="G606" s="14"/>
    </row>
    <row r="607" ht="13.2" spans="7:7">
      <c r="G607" s="14"/>
    </row>
    <row r="608" ht="13.2" spans="7:7">
      <c r="G608" s="14"/>
    </row>
    <row r="609" ht="13.2" spans="7:7">
      <c r="G609" s="14"/>
    </row>
    <row r="610" ht="13.2" spans="7:7">
      <c r="G610" s="14"/>
    </row>
    <row r="611" ht="13.2" spans="7:7">
      <c r="G611" s="14"/>
    </row>
    <row r="612" ht="13.2" spans="7:7">
      <c r="G612" s="14"/>
    </row>
    <row r="613" ht="13.2" spans="7:7">
      <c r="G613" s="14"/>
    </row>
    <row r="614" ht="13.2" spans="7:7">
      <c r="G614" s="14"/>
    </row>
    <row r="615" ht="13.2" spans="7:7">
      <c r="G615" s="14"/>
    </row>
    <row r="616" ht="13.2" spans="7:7">
      <c r="G616" s="14"/>
    </row>
    <row r="617" ht="13.2" spans="7:7">
      <c r="G617" s="14"/>
    </row>
    <row r="618" ht="13.2" spans="7:7">
      <c r="G618" s="14"/>
    </row>
    <row r="619" ht="13.2" spans="7:7">
      <c r="G619" s="14"/>
    </row>
    <row r="620" ht="13.2" spans="7:7">
      <c r="G620" s="14"/>
    </row>
    <row r="621" ht="13.2" spans="7:7">
      <c r="G621" s="14"/>
    </row>
    <row r="622" ht="13.2" spans="7:7">
      <c r="G622" s="14"/>
    </row>
    <row r="623" ht="13.2" spans="7:7">
      <c r="G623" s="14"/>
    </row>
    <row r="624" ht="13.2" spans="7:7">
      <c r="G624" s="14"/>
    </row>
    <row r="625" ht="13.2" spans="7:7">
      <c r="G625" s="14"/>
    </row>
    <row r="626" ht="13.2" spans="7:7">
      <c r="G626" s="14"/>
    </row>
    <row r="627" ht="13.2" spans="7:7">
      <c r="G627" s="14"/>
    </row>
    <row r="628" ht="13.2" spans="7:7">
      <c r="G628" s="14"/>
    </row>
    <row r="629" ht="13.2" spans="7:7">
      <c r="G629" s="14"/>
    </row>
    <row r="630" ht="13.2" spans="7:7">
      <c r="G630" s="14"/>
    </row>
    <row r="631" ht="13.2" spans="7:7">
      <c r="G631" s="14"/>
    </row>
    <row r="632" ht="13.2" spans="7:7">
      <c r="G632" s="14"/>
    </row>
    <row r="633" ht="13.2" spans="7:7">
      <c r="G633" s="14"/>
    </row>
    <row r="634" ht="13.2" spans="7:7">
      <c r="G634" s="14"/>
    </row>
    <row r="635" ht="13.2" spans="7:7">
      <c r="G635" s="14"/>
    </row>
    <row r="636" ht="13.2" spans="7:7">
      <c r="G636" s="14"/>
    </row>
    <row r="637" ht="13.2" spans="7:7">
      <c r="G637" s="14"/>
    </row>
    <row r="638" ht="13.2" spans="7:7">
      <c r="G638" s="14"/>
    </row>
    <row r="639" ht="13.2" spans="7:7">
      <c r="G639" s="14"/>
    </row>
    <row r="640" ht="13.2" spans="7:7">
      <c r="G640" s="14"/>
    </row>
    <row r="641" ht="13.2" spans="7:7">
      <c r="G641" s="14"/>
    </row>
    <row r="642" ht="13.2" spans="7:7">
      <c r="G642" s="14"/>
    </row>
    <row r="643" ht="13.2" spans="7:7">
      <c r="G643" s="14"/>
    </row>
    <row r="644" ht="13.2" spans="7:7">
      <c r="G644" s="14"/>
    </row>
    <row r="645" ht="13.2" spans="7:7">
      <c r="G645" s="14"/>
    </row>
    <row r="646" ht="13.2" spans="7:7">
      <c r="G646" s="14"/>
    </row>
    <row r="647" ht="13.2" spans="7:7">
      <c r="G647" s="14"/>
    </row>
    <row r="648" ht="13.2" spans="7:7">
      <c r="G648" s="14"/>
    </row>
    <row r="649" ht="13.2" spans="7:7">
      <c r="G649" s="14"/>
    </row>
    <row r="650" ht="13.2" spans="7:7">
      <c r="G650" s="14"/>
    </row>
    <row r="651" ht="13.2" spans="7:7">
      <c r="G651" s="14"/>
    </row>
    <row r="652" ht="13.2" spans="7:7">
      <c r="G652" s="14"/>
    </row>
    <row r="653" ht="13.2" spans="7:7">
      <c r="G653" s="14"/>
    </row>
    <row r="654" ht="13.2" spans="7:7">
      <c r="G654" s="14"/>
    </row>
    <row r="655" ht="13.2" spans="7:7">
      <c r="G655" s="14"/>
    </row>
    <row r="656" ht="13.2" spans="7:7">
      <c r="G656" s="14"/>
    </row>
    <row r="657" ht="13.2" spans="7:7">
      <c r="G657" s="14"/>
    </row>
    <row r="658" ht="13.2" spans="7:7">
      <c r="G658" s="14"/>
    </row>
    <row r="659" ht="13.2" spans="7:7">
      <c r="G659" s="14"/>
    </row>
    <row r="660" ht="13.2" spans="7:7">
      <c r="G660" s="14"/>
    </row>
    <row r="661" ht="13.2" spans="7:7">
      <c r="G661" s="14"/>
    </row>
    <row r="662" ht="13.2" spans="7:7">
      <c r="G662" s="14"/>
    </row>
    <row r="663" ht="13.2" spans="7:7">
      <c r="G663" s="14"/>
    </row>
    <row r="664" ht="13.2" spans="7:7">
      <c r="G664" s="14"/>
    </row>
    <row r="665" ht="13.2" spans="7:7">
      <c r="G665" s="14"/>
    </row>
    <row r="666" ht="13.2" spans="7:7">
      <c r="G666" s="14"/>
    </row>
    <row r="667" ht="13.2" spans="7:7">
      <c r="G667" s="14"/>
    </row>
    <row r="668" ht="13.2" spans="7:7">
      <c r="G668" s="14"/>
    </row>
    <row r="669" ht="13.2" spans="7:7">
      <c r="G669" s="14"/>
    </row>
    <row r="670" ht="13.2" spans="7:7">
      <c r="G670" s="14"/>
    </row>
    <row r="671" ht="13.2" spans="7:7">
      <c r="G671" s="14"/>
    </row>
    <row r="672" ht="13.2" spans="7:7">
      <c r="G672" s="14"/>
    </row>
    <row r="673" ht="13.2" spans="7:7">
      <c r="G673" s="14"/>
    </row>
    <row r="674" ht="13.2" spans="7:7">
      <c r="G674" s="14"/>
    </row>
    <row r="675" ht="13.2" spans="7:7">
      <c r="G675" s="14"/>
    </row>
    <row r="676" ht="13.2" spans="7:7">
      <c r="G676" s="14"/>
    </row>
    <row r="677" ht="13.2" spans="7:7">
      <c r="G677" s="14"/>
    </row>
    <row r="678" ht="13.2" spans="7:7">
      <c r="G678" s="14"/>
    </row>
    <row r="679" ht="13.2" spans="7:7">
      <c r="G679" s="14"/>
    </row>
    <row r="680" ht="13.2" spans="7:7">
      <c r="G680" s="14"/>
    </row>
    <row r="681" ht="13.2" spans="7:7">
      <c r="G681" s="14"/>
    </row>
    <row r="682" ht="13.2" spans="7:7">
      <c r="G682" s="14"/>
    </row>
    <row r="683" ht="13.2" spans="7:7">
      <c r="G683" s="14"/>
    </row>
    <row r="684" ht="13.2" spans="7:7">
      <c r="G684" s="14"/>
    </row>
    <row r="685" ht="13.2" spans="7:7">
      <c r="G685" s="14"/>
    </row>
    <row r="686" ht="13.2" spans="7:7">
      <c r="G686" s="14"/>
    </row>
    <row r="687" ht="13.2" spans="7:7">
      <c r="G687" s="14"/>
    </row>
    <row r="688" ht="13.2" spans="7:7">
      <c r="G688" s="14"/>
    </row>
    <row r="689" ht="13.2" spans="7:7">
      <c r="G689" s="14"/>
    </row>
    <row r="690" ht="13.2" spans="7:7">
      <c r="G690" s="14"/>
    </row>
    <row r="691" ht="13.2" spans="7:7">
      <c r="G691" s="14"/>
    </row>
    <row r="692" ht="13.2" spans="7:7">
      <c r="G692" s="14"/>
    </row>
    <row r="693" ht="13.2" spans="7:7">
      <c r="G693" s="14"/>
    </row>
    <row r="694" ht="13.2" spans="7:7">
      <c r="G694" s="14"/>
    </row>
    <row r="695" ht="13.2" spans="7:7">
      <c r="G695" s="14"/>
    </row>
    <row r="696" ht="13.2" spans="7:7">
      <c r="G696" s="14"/>
    </row>
    <row r="697" ht="13.2" spans="7:7">
      <c r="G697" s="14"/>
    </row>
    <row r="698" ht="13.2" spans="7:7">
      <c r="G698" s="14"/>
    </row>
    <row r="699" ht="13.2" spans="7:7">
      <c r="G699" s="14"/>
    </row>
    <row r="700" ht="13.2" spans="7:7">
      <c r="G700" s="14"/>
    </row>
    <row r="701" ht="13.2" spans="7:7">
      <c r="G701" s="14"/>
    </row>
    <row r="702" ht="13.2" spans="7:7">
      <c r="G702" s="14"/>
    </row>
    <row r="703" ht="13.2" spans="7:7">
      <c r="G703" s="14"/>
    </row>
    <row r="704" ht="13.2" spans="7:7">
      <c r="G704" s="14"/>
    </row>
    <row r="705" ht="13.2" spans="7:7">
      <c r="G705" s="14"/>
    </row>
    <row r="706" ht="13.2" spans="7:7">
      <c r="G706" s="14"/>
    </row>
    <row r="707" ht="13.2" spans="7:7">
      <c r="G707" s="14"/>
    </row>
    <row r="708" ht="13.2" spans="7:7">
      <c r="G708" s="14"/>
    </row>
    <row r="709" ht="13.2" spans="7:7">
      <c r="G709" s="14"/>
    </row>
    <row r="710" ht="13.2" spans="7:7">
      <c r="G710" s="14"/>
    </row>
    <row r="711" ht="13.2" spans="7:7">
      <c r="G711" s="14"/>
    </row>
    <row r="712" ht="13.2" spans="7:7">
      <c r="G712" s="14"/>
    </row>
    <row r="713" ht="13.2" spans="7:7">
      <c r="G713" s="14"/>
    </row>
    <row r="714" ht="13.2" spans="7:7">
      <c r="G714" s="14"/>
    </row>
    <row r="715" ht="13.2" spans="7:7">
      <c r="G715" s="14"/>
    </row>
    <row r="716" ht="13.2" spans="7:7">
      <c r="G716" s="14"/>
    </row>
    <row r="717" ht="13.2" spans="7:7">
      <c r="G717" s="14"/>
    </row>
    <row r="718" ht="13.2" spans="7:7">
      <c r="G718" s="14"/>
    </row>
    <row r="719" ht="13.2" spans="7:7">
      <c r="G719" s="14"/>
    </row>
    <row r="720" ht="13.2" spans="7:7">
      <c r="G720" s="14"/>
    </row>
    <row r="721" ht="13.2" spans="7:7">
      <c r="G721" s="14"/>
    </row>
    <row r="722" ht="13.2" spans="7:7">
      <c r="G722" s="14"/>
    </row>
    <row r="723" ht="13.2" spans="7:7">
      <c r="G723" s="14"/>
    </row>
    <row r="724" ht="13.2" spans="7:7">
      <c r="G724" s="14"/>
    </row>
    <row r="725" ht="13.2" spans="7:7">
      <c r="G725" s="14"/>
    </row>
    <row r="726" ht="13.2" spans="7:7">
      <c r="G726" s="14"/>
    </row>
    <row r="727" ht="13.2" spans="7:7">
      <c r="G727" s="14"/>
    </row>
    <row r="728" ht="13.2" spans="7:7">
      <c r="G728" s="14"/>
    </row>
    <row r="729" ht="13.2" spans="7:7">
      <c r="G729" s="14"/>
    </row>
    <row r="730" ht="13.2" spans="7:7">
      <c r="G730" s="14"/>
    </row>
    <row r="731" ht="13.2" spans="7:7">
      <c r="G731" s="14"/>
    </row>
    <row r="732" ht="13.2" spans="7:7">
      <c r="G732" s="14"/>
    </row>
    <row r="733" ht="13.2" spans="7:7">
      <c r="G733" s="14"/>
    </row>
    <row r="734" ht="13.2" spans="7:7">
      <c r="G734" s="14"/>
    </row>
    <row r="735" ht="13.2" spans="7:7">
      <c r="G735" s="14"/>
    </row>
    <row r="736" ht="13.2" spans="7:7">
      <c r="G736" s="14"/>
    </row>
    <row r="737" ht="13.2" spans="7:7">
      <c r="G737" s="14"/>
    </row>
    <row r="738" ht="13.2" spans="7:7">
      <c r="G738" s="14"/>
    </row>
    <row r="739" ht="13.2" spans="7:7">
      <c r="G739" s="14"/>
    </row>
    <row r="740" ht="13.2" spans="7:7">
      <c r="G740" s="14"/>
    </row>
    <row r="741" ht="13.2" spans="7:7">
      <c r="G741" s="14"/>
    </row>
    <row r="742" ht="13.2" spans="7:7">
      <c r="G742" s="14"/>
    </row>
    <row r="743" ht="13.2" spans="7:7">
      <c r="G743" s="14"/>
    </row>
    <row r="744" ht="13.2" spans="7:7">
      <c r="G744" s="14"/>
    </row>
    <row r="745" ht="13.2" spans="7:7">
      <c r="G745" s="14"/>
    </row>
    <row r="746" ht="13.2" spans="7:7">
      <c r="G746" s="14"/>
    </row>
    <row r="747" ht="13.2" spans="7:7">
      <c r="G747" s="14"/>
    </row>
    <row r="748" ht="13.2" spans="7:7">
      <c r="G748" s="14"/>
    </row>
    <row r="749" ht="13.2" spans="7:7">
      <c r="G749" s="14"/>
    </row>
    <row r="750" ht="13.2" spans="7:7">
      <c r="G750" s="14"/>
    </row>
    <row r="751" ht="13.2" spans="7:7">
      <c r="G751" s="14"/>
    </row>
    <row r="752" ht="13.2" spans="7:7">
      <c r="G752" s="14"/>
    </row>
    <row r="753" ht="13.2" spans="7:7">
      <c r="G753" s="14"/>
    </row>
    <row r="754" ht="13.2" spans="7:7">
      <c r="G754" s="14"/>
    </row>
    <row r="755" ht="13.2" spans="7:7">
      <c r="G755" s="14"/>
    </row>
    <row r="756" ht="13.2" spans="7:7">
      <c r="G756" s="14"/>
    </row>
    <row r="757" ht="13.2" spans="7:7">
      <c r="G757" s="14"/>
    </row>
    <row r="758" ht="13.2" spans="7:7">
      <c r="G758" s="14"/>
    </row>
    <row r="759" ht="13.2" spans="7:7">
      <c r="G759" s="14"/>
    </row>
    <row r="760" ht="13.2" spans="7:7">
      <c r="G760" s="14"/>
    </row>
    <row r="761" ht="13.2" spans="7:7">
      <c r="G761" s="14"/>
    </row>
    <row r="762" ht="13.2" spans="7:7">
      <c r="G762" s="14"/>
    </row>
    <row r="763" ht="13.2" spans="7:7">
      <c r="G763" s="14"/>
    </row>
    <row r="764" ht="13.2" spans="7:7">
      <c r="G764" s="14"/>
    </row>
    <row r="765" ht="13.2" spans="7:7">
      <c r="G765" s="14"/>
    </row>
    <row r="766" ht="13.2" spans="7:7">
      <c r="G766" s="14"/>
    </row>
    <row r="767" ht="13.2" spans="7:7">
      <c r="G767" s="14"/>
    </row>
    <row r="768" ht="13.2" spans="7:7">
      <c r="G768" s="14"/>
    </row>
    <row r="769" ht="13.2" spans="7:7">
      <c r="G769" s="14"/>
    </row>
    <row r="770" ht="13.2" spans="7:7">
      <c r="G770" s="14"/>
    </row>
    <row r="771" ht="13.2" spans="7:7">
      <c r="G771" s="14"/>
    </row>
    <row r="772" ht="13.2" spans="7:7">
      <c r="G772" s="14"/>
    </row>
    <row r="773" ht="13.2" spans="7:7">
      <c r="G773" s="14"/>
    </row>
    <row r="774" ht="13.2" spans="7:7">
      <c r="G774" s="14"/>
    </row>
    <row r="775" ht="13.2" spans="7:7">
      <c r="G775" s="14"/>
    </row>
    <row r="776" ht="13.2" spans="7:7">
      <c r="G776" s="14"/>
    </row>
    <row r="777" ht="13.2" spans="7:7">
      <c r="G777" s="14"/>
    </row>
    <row r="778" ht="13.2" spans="7:7">
      <c r="G778" s="14"/>
    </row>
    <row r="779" ht="13.2" spans="7:7">
      <c r="G779" s="14"/>
    </row>
    <row r="780" ht="13.2" spans="7:7">
      <c r="G780" s="14"/>
    </row>
    <row r="781" ht="13.2" spans="7:7">
      <c r="G781" s="14"/>
    </row>
    <row r="782" ht="13.2" spans="7:7">
      <c r="G782" s="14"/>
    </row>
    <row r="783" ht="13.2" spans="7:7">
      <c r="G783" s="14"/>
    </row>
    <row r="784" ht="13.2" spans="7:7">
      <c r="G784" s="14"/>
    </row>
    <row r="785" ht="13.2" spans="7:7">
      <c r="G785" s="14"/>
    </row>
    <row r="786" ht="13.2" spans="7:7">
      <c r="G786" s="14"/>
    </row>
    <row r="787" ht="13.2" spans="7:7">
      <c r="G787" s="14"/>
    </row>
    <row r="788" ht="13.2" spans="7:7">
      <c r="G788" s="14"/>
    </row>
    <row r="789" ht="13.2" spans="7:7">
      <c r="G789" s="14"/>
    </row>
    <row r="790" ht="13.2" spans="7:7">
      <c r="G790" s="14"/>
    </row>
    <row r="791" ht="13.2" spans="7:7">
      <c r="G791" s="14"/>
    </row>
    <row r="792" ht="13.2" spans="7:7">
      <c r="G792" s="14"/>
    </row>
    <row r="793" ht="13.2" spans="7:7">
      <c r="G793" s="14"/>
    </row>
    <row r="794" ht="13.2" spans="7:7">
      <c r="G794" s="14"/>
    </row>
    <row r="795" ht="13.2" spans="7:7">
      <c r="G795" s="14"/>
    </row>
    <row r="796" ht="13.2" spans="7:7">
      <c r="G796" s="14"/>
    </row>
    <row r="797" ht="13.2" spans="7:7">
      <c r="G797" s="14"/>
    </row>
    <row r="798" ht="13.2" spans="7:7">
      <c r="G798" s="14"/>
    </row>
    <row r="799" ht="13.2" spans="7:7">
      <c r="G799" s="14"/>
    </row>
    <row r="800" ht="13.2" spans="7:7">
      <c r="G800" s="14"/>
    </row>
    <row r="801" ht="13.2" spans="7:7">
      <c r="G801" s="14"/>
    </row>
    <row r="802" ht="13.2" spans="7:7">
      <c r="G802" s="14"/>
    </row>
    <row r="803" ht="13.2" spans="7:7">
      <c r="G803" s="14"/>
    </row>
    <row r="804" ht="13.2" spans="7:7">
      <c r="G804" s="14"/>
    </row>
    <row r="805" ht="13.2" spans="7:7">
      <c r="G805" s="14"/>
    </row>
    <row r="806" ht="13.2" spans="7:7">
      <c r="G806" s="14"/>
    </row>
    <row r="807" ht="13.2" spans="7:7">
      <c r="G807" s="14"/>
    </row>
    <row r="808" ht="13.2" spans="7:7">
      <c r="G808" s="14"/>
    </row>
    <row r="809" ht="13.2" spans="7:7">
      <c r="G809" s="14"/>
    </row>
    <row r="810" ht="13.2" spans="7:7">
      <c r="G810" s="14"/>
    </row>
    <row r="811" ht="13.2" spans="7:7">
      <c r="G811" s="14"/>
    </row>
    <row r="812" ht="13.2" spans="7:7">
      <c r="G812" s="14"/>
    </row>
    <row r="813" ht="13.2" spans="7:7">
      <c r="G813" s="14"/>
    </row>
    <row r="814" ht="13.2" spans="7:7">
      <c r="G814" s="14"/>
    </row>
    <row r="815" ht="13.2" spans="7:7">
      <c r="G815" s="14"/>
    </row>
    <row r="816" ht="13.2" spans="7:7">
      <c r="G816" s="14"/>
    </row>
    <row r="817" ht="13.2" spans="7:7">
      <c r="G817" s="14"/>
    </row>
    <row r="818" ht="13.2" spans="7:7">
      <c r="G818" s="14"/>
    </row>
    <row r="819" ht="13.2" spans="7:7">
      <c r="G819" s="14"/>
    </row>
    <row r="820" ht="13.2" spans="7:7">
      <c r="G820" s="14"/>
    </row>
    <row r="821" ht="13.2" spans="7:7">
      <c r="G821" s="14"/>
    </row>
    <row r="822" ht="13.2" spans="7:7">
      <c r="G822" s="14"/>
    </row>
    <row r="823" ht="13.2" spans="7:7">
      <c r="G823" s="14"/>
    </row>
    <row r="824" ht="13.2" spans="7:7">
      <c r="G824" s="14"/>
    </row>
    <row r="825" ht="13.2" spans="7:7">
      <c r="G825" s="14"/>
    </row>
    <row r="826" ht="13.2" spans="7:7">
      <c r="G826" s="14"/>
    </row>
    <row r="827" ht="13.2" spans="7:7">
      <c r="G827" s="14"/>
    </row>
    <row r="828" ht="13.2" spans="7:7">
      <c r="G828" s="14"/>
    </row>
    <row r="829" ht="13.2" spans="7:7">
      <c r="G829" s="14"/>
    </row>
    <row r="830" ht="13.2" spans="7:7">
      <c r="G830" s="14"/>
    </row>
    <row r="831" ht="13.2" spans="7:7">
      <c r="G831" s="14"/>
    </row>
    <row r="832" ht="13.2" spans="7:7">
      <c r="G832" s="14"/>
    </row>
    <row r="833" ht="13.2" spans="7:7">
      <c r="G833" s="14"/>
    </row>
    <row r="834" ht="13.2" spans="7:7">
      <c r="G834" s="14"/>
    </row>
    <row r="835" ht="13.2" spans="7:7">
      <c r="G835" s="14"/>
    </row>
    <row r="836" ht="13.2" spans="7:7">
      <c r="G836" s="14"/>
    </row>
    <row r="837" ht="13.2" spans="7:7">
      <c r="G837" s="14"/>
    </row>
    <row r="838" ht="13.2" spans="7:7">
      <c r="G838" s="14"/>
    </row>
    <row r="839" ht="13.2" spans="7:7">
      <c r="G839" s="14"/>
    </row>
    <row r="840" ht="13.2" spans="7:7">
      <c r="G840" s="14"/>
    </row>
    <row r="841" ht="13.2" spans="7:7">
      <c r="G841" s="14"/>
    </row>
    <row r="842" ht="13.2" spans="7:7">
      <c r="G842" s="14"/>
    </row>
    <row r="843" ht="13.2" spans="7:7">
      <c r="G843" s="14"/>
    </row>
    <row r="844" ht="13.2" spans="7:7">
      <c r="G844" s="14"/>
    </row>
    <row r="845" ht="13.2" spans="7:7">
      <c r="G845" s="14"/>
    </row>
    <row r="846" ht="13.2" spans="7:7">
      <c r="G846" s="14"/>
    </row>
    <row r="847" ht="13.2" spans="7:7">
      <c r="G847" s="14"/>
    </row>
    <row r="848" ht="13.2" spans="7:7">
      <c r="G848" s="14"/>
    </row>
    <row r="849" ht="13.2" spans="7:7">
      <c r="G849" s="14"/>
    </row>
    <row r="850" ht="13.2" spans="7:7">
      <c r="G850" s="14"/>
    </row>
    <row r="851" ht="13.2" spans="7:7">
      <c r="G851" s="14"/>
    </row>
    <row r="852" ht="13.2" spans="7:7">
      <c r="G852" s="14"/>
    </row>
    <row r="853" ht="13.2" spans="7:7">
      <c r="G853" s="14"/>
    </row>
    <row r="854" ht="13.2" spans="7:7">
      <c r="G854" s="14"/>
    </row>
    <row r="855" ht="13.2" spans="7:7">
      <c r="G855" s="14"/>
    </row>
    <row r="856" ht="13.2" spans="7:7">
      <c r="G856" s="14"/>
    </row>
    <row r="857" ht="13.2" spans="7:7">
      <c r="G857" s="14"/>
    </row>
    <row r="858" ht="13.2" spans="7:7">
      <c r="G858" s="14"/>
    </row>
    <row r="859" ht="13.2" spans="7:7">
      <c r="G859" s="14"/>
    </row>
    <row r="860" ht="13.2" spans="7:7">
      <c r="G860" s="14"/>
    </row>
    <row r="861" ht="13.2" spans="7:7">
      <c r="G861" s="14"/>
    </row>
    <row r="862" ht="13.2" spans="7:7">
      <c r="G862" s="14"/>
    </row>
    <row r="863" ht="13.2" spans="7:7">
      <c r="G863" s="14"/>
    </row>
    <row r="864" ht="13.2" spans="7:7">
      <c r="G864" s="14"/>
    </row>
    <row r="865" ht="13.2" spans="7:7">
      <c r="G865" s="14"/>
    </row>
    <row r="866" ht="13.2" spans="7:7">
      <c r="G866" s="14"/>
    </row>
    <row r="867" ht="13.2" spans="7:7">
      <c r="G867" s="14"/>
    </row>
    <row r="868" ht="13.2" spans="7:7">
      <c r="G868" s="14"/>
    </row>
    <row r="869" ht="13.2" spans="7:7">
      <c r="G869" s="14"/>
    </row>
    <row r="870" ht="13.2" spans="7:7">
      <c r="G870" s="14"/>
    </row>
    <row r="871" ht="13.2" spans="7:7">
      <c r="G871" s="14"/>
    </row>
    <row r="872" ht="13.2" spans="7:7">
      <c r="G872" s="14"/>
    </row>
    <row r="873" ht="13.2" spans="7:7">
      <c r="G873" s="14"/>
    </row>
    <row r="874" ht="13.2" spans="7:7">
      <c r="G874" s="14"/>
    </row>
    <row r="875" ht="13.2" spans="7:7">
      <c r="G875" s="14"/>
    </row>
    <row r="876" ht="13.2" spans="7:7">
      <c r="G876" s="14"/>
    </row>
    <row r="877" ht="13.2" spans="7:7">
      <c r="G877" s="14"/>
    </row>
    <row r="878" ht="13.2" spans="7:7">
      <c r="G878" s="14"/>
    </row>
    <row r="879" ht="13.2" spans="7:7">
      <c r="G879" s="14"/>
    </row>
    <row r="880" ht="13.2" spans="7:7">
      <c r="G880" s="14"/>
    </row>
    <row r="881" ht="13.2" spans="7:7">
      <c r="G881" s="14"/>
    </row>
    <row r="882" ht="13.2" spans="7:7">
      <c r="G882" s="14"/>
    </row>
    <row r="883" ht="13.2" spans="7:7">
      <c r="G883" s="14"/>
    </row>
    <row r="884" ht="13.2" spans="7:7">
      <c r="G884" s="14"/>
    </row>
    <row r="885" ht="13.2" spans="7:7">
      <c r="G885" s="14"/>
    </row>
    <row r="886" ht="13.2" spans="7:7">
      <c r="G886" s="14"/>
    </row>
    <row r="887" ht="13.2" spans="7:7">
      <c r="G887" s="14"/>
    </row>
    <row r="888" ht="13.2" spans="7:7">
      <c r="G888" s="14"/>
    </row>
    <row r="889" ht="13.2" spans="7:7">
      <c r="G889" s="14"/>
    </row>
    <row r="890" ht="13.2" spans="7:7">
      <c r="G890" s="14"/>
    </row>
    <row r="891" ht="13.2" spans="7:7">
      <c r="G891" s="14"/>
    </row>
    <row r="892" ht="13.2" spans="7:7">
      <c r="G892" s="14"/>
    </row>
    <row r="893" ht="13.2" spans="7:7">
      <c r="G893" s="14"/>
    </row>
    <row r="894" ht="13.2" spans="7:7">
      <c r="G894" s="14"/>
    </row>
    <row r="895" ht="13.2" spans="7:7">
      <c r="G895" s="14"/>
    </row>
    <row r="896" ht="13.2" spans="7:7">
      <c r="G896" s="14"/>
    </row>
    <row r="897" ht="13.2" spans="7:7">
      <c r="G897" s="14"/>
    </row>
    <row r="898" ht="13.2" spans="7:7">
      <c r="G898" s="14"/>
    </row>
    <row r="899" ht="13.2" spans="7:7">
      <c r="G899" s="14"/>
    </row>
    <row r="900" ht="13.2" spans="7:7">
      <c r="G900" s="14"/>
    </row>
    <row r="901" ht="13.2" spans="7:7">
      <c r="G901" s="14"/>
    </row>
    <row r="902" ht="13.2" spans="7:7">
      <c r="G902" s="14"/>
    </row>
    <row r="903" ht="13.2" spans="7:7">
      <c r="G903" s="14"/>
    </row>
    <row r="904" ht="13.2" spans="7:7">
      <c r="G904" s="14"/>
    </row>
    <row r="905" ht="13.2" spans="7:7">
      <c r="G905" s="14"/>
    </row>
    <row r="906" ht="13.2" spans="7:7">
      <c r="G906" s="14"/>
    </row>
    <row r="907" ht="13.2" spans="7:7">
      <c r="G907" s="14"/>
    </row>
    <row r="908" ht="13.2" spans="7:7">
      <c r="G908" s="14"/>
    </row>
    <row r="909" ht="13.2" spans="7:7">
      <c r="G909" s="14"/>
    </row>
    <row r="910" ht="13.2" spans="7:7">
      <c r="G910" s="14"/>
    </row>
    <row r="911" ht="13.2" spans="7:7">
      <c r="G911" s="14"/>
    </row>
    <row r="912" ht="13.2" spans="7:7">
      <c r="G912" s="14"/>
    </row>
    <row r="913" ht="13.2" spans="7:7">
      <c r="G913" s="14"/>
    </row>
    <row r="914" ht="13.2" spans="7:7">
      <c r="G914" s="14"/>
    </row>
    <row r="915" ht="13.2" spans="7:7">
      <c r="G915" s="14"/>
    </row>
    <row r="916" ht="13.2" spans="7:7">
      <c r="G916" s="14"/>
    </row>
    <row r="917" ht="13.2" spans="7:7">
      <c r="G917" s="14"/>
    </row>
    <row r="918" ht="13.2" spans="7:7">
      <c r="G918" s="14"/>
    </row>
    <row r="919" ht="13.2" spans="7:7">
      <c r="G919" s="14"/>
    </row>
    <row r="920" ht="13.2" spans="7:7">
      <c r="G920" s="14"/>
    </row>
    <row r="921" ht="13.2" spans="7:7">
      <c r="G921" s="14"/>
    </row>
    <row r="922" ht="13.2" spans="7:7">
      <c r="G922" s="14"/>
    </row>
    <row r="923" ht="13.2" spans="7:7">
      <c r="G923" s="14"/>
    </row>
    <row r="924" ht="13.2" spans="7:7">
      <c r="G924" s="14"/>
    </row>
    <row r="925" ht="13.2" spans="7:7">
      <c r="G925" s="14"/>
    </row>
    <row r="926" ht="13.2" spans="7:7">
      <c r="G926" s="14"/>
    </row>
    <row r="927" ht="13.2" spans="7:7">
      <c r="G927" s="14"/>
    </row>
    <row r="928" ht="13.2" spans="7:7">
      <c r="G928" s="14"/>
    </row>
    <row r="929" ht="13.2" spans="7:7">
      <c r="G929" s="14"/>
    </row>
    <row r="930" ht="13.2" spans="7:7">
      <c r="G930" s="14"/>
    </row>
    <row r="931" ht="13.2" spans="7:7">
      <c r="G931" s="14"/>
    </row>
    <row r="932" ht="13.2" spans="7:7">
      <c r="G932" s="14"/>
    </row>
    <row r="933" ht="13.2" spans="7:7">
      <c r="G933" s="14"/>
    </row>
    <row r="934" ht="13.2" spans="7:7">
      <c r="G934" s="14"/>
    </row>
    <row r="935" ht="13.2" spans="7:7">
      <c r="G935" s="14"/>
    </row>
    <row r="936" ht="13.2" spans="7:7">
      <c r="G936" s="14"/>
    </row>
    <row r="937" ht="13.2" spans="7:7">
      <c r="G937" s="14"/>
    </row>
    <row r="938" ht="13.2" spans="7:7">
      <c r="G938" s="14"/>
    </row>
    <row r="939" ht="13.2" spans="7:7">
      <c r="G939" s="14"/>
    </row>
    <row r="940" ht="13.2" spans="7:7">
      <c r="G940" s="14"/>
    </row>
    <row r="941" ht="13.2" spans="7:7">
      <c r="G941" s="14"/>
    </row>
    <row r="942" ht="13.2" spans="7:7">
      <c r="G942" s="14"/>
    </row>
    <row r="943" ht="13.2" spans="7:7">
      <c r="G943" s="14"/>
    </row>
    <row r="944" ht="13.2" spans="7:7">
      <c r="G944" s="14"/>
    </row>
    <row r="945" ht="13.2" spans="7:7">
      <c r="G945" s="14"/>
    </row>
    <row r="946" ht="13.2" spans="7:7">
      <c r="G946" s="14"/>
    </row>
    <row r="947" ht="13.2" spans="7:7">
      <c r="G947" s="14"/>
    </row>
    <row r="948" ht="13.2" spans="7:7">
      <c r="G948" s="14"/>
    </row>
    <row r="949" ht="13.2" spans="7:7">
      <c r="G949" s="14"/>
    </row>
    <row r="950" ht="13.2" spans="7:7">
      <c r="G950" s="14"/>
    </row>
    <row r="951" ht="13.2" spans="7:7">
      <c r="G951" s="14"/>
    </row>
    <row r="952" ht="13.2" spans="7:7">
      <c r="G952" s="14"/>
    </row>
    <row r="953" ht="13.2" spans="7:7">
      <c r="G953" s="14"/>
    </row>
    <row r="954" ht="13.2" spans="7:7">
      <c r="G954" s="14"/>
    </row>
    <row r="955" ht="13.2" spans="7:7">
      <c r="G955" s="14"/>
    </row>
    <row r="956" ht="13.2" spans="7:7">
      <c r="G956" s="14"/>
    </row>
    <row r="957" ht="13.2" spans="7:7">
      <c r="G957" s="14"/>
    </row>
    <row r="958" ht="13.2" spans="7:7">
      <c r="G958" s="14"/>
    </row>
    <row r="959" ht="13.2" spans="7:7">
      <c r="G959" s="14"/>
    </row>
    <row r="960" ht="13.2" spans="7:7">
      <c r="G960" s="14"/>
    </row>
    <row r="961" ht="13.2" spans="7:7">
      <c r="G961" s="14"/>
    </row>
    <row r="962" ht="13.2" spans="7:7">
      <c r="G962" s="14"/>
    </row>
    <row r="963" ht="13.2" spans="7:7">
      <c r="G963" s="14"/>
    </row>
    <row r="964" ht="13.2" spans="7:7">
      <c r="G964" s="14"/>
    </row>
    <row r="965" ht="13.2" spans="7:7">
      <c r="G965" s="14"/>
    </row>
    <row r="966" ht="13.2" spans="7:7">
      <c r="G966" s="14"/>
    </row>
    <row r="967" ht="13.2" spans="7:7">
      <c r="G967" s="14"/>
    </row>
    <row r="968" ht="13.2" spans="7:7">
      <c r="G968" s="14"/>
    </row>
    <row r="969" ht="13.2" spans="7:7">
      <c r="G969" s="14"/>
    </row>
    <row r="970" ht="13.2" spans="7:7">
      <c r="G970" s="14"/>
    </row>
    <row r="971" ht="13.2" spans="7:7">
      <c r="G971" s="14"/>
    </row>
    <row r="972" ht="13.2" spans="7:7">
      <c r="G972" s="14"/>
    </row>
    <row r="973" ht="13.2" spans="7:7">
      <c r="G973" s="14"/>
    </row>
    <row r="974" ht="13.2" spans="7:7">
      <c r="G974" s="14"/>
    </row>
    <row r="975" ht="13.2" spans="7:7">
      <c r="G975" s="14"/>
    </row>
    <row r="976" ht="13.2" spans="7:7">
      <c r="G976" s="14"/>
    </row>
  </sheetData>
  <mergeCells count="2">
    <mergeCell ref="B2:H2"/>
    <mergeCell ref="B3:H3"/>
  </mergeCells>
  <dataValidations count="1">
    <dataValidation type="custom" allowBlank="1" sqref="D6:D14 F6:F14">
      <formula1>AND(ISNUMBER(D6),(NOT(OR(NOT(ISERROR(DATEVALUE(D6))),AND(ISNUMBER(D6),LEFT(CELL("format",D6))="D")))))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6524"/>
    <outlinePr summaryBelow="0" summaryRight="0"/>
  </sheetPr>
  <dimension ref="B1:E18"/>
  <sheetViews>
    <sheetView showGridLines="0" tabSelected="1" zoomScale="60" zoomScaleNormal="60" workbookViewId="0">
      <selection activeCell="C20" sqref="C20"/>
    </sheetView>
  </sheetViews>
  <sheetFormatPr defaultColWidth="12.5740740740741" defaultRowHeight="15.75" customHeight="1" outlineLevelCol="4"/>
  <cols>
    <col min="1" max="1" width="5.13888888888889" customWidth="1"/>
    <col min="2" max="2" width="58.287037037037" customWidth="1"/>
    <col min="3" max="3" width="29.712962962963" customWidth="1"/>
    <col min="5" max="5" width="82.4259259259259" customWidth="1"/>
  </cols>
  <sheetData>
    <row r="1" ht="19.2" spans="2:5">
      <c r="B1" s="1"/>
      <c r="C1" s="2"/>
    </row>
    <row r="2" ht="24.6" spans="2:5">
      <c r="B2" s="3" t="s">
        <v>94</v>
      </c>
    </row>
    <row r="3" ht="13.2" spans="2:5">
      <c r="B3" s="4" t="s">
        <v>95</v>
      </c>
    </row>
    <row r="4" ht="13.2" spans="2:5">
      <c r="B4" s="2"/>
      <c r="C4" s="2"/>
    </row>
    <row r="5" ht="22.5" customHeight="1" spans="2:5">
      <c r="B5" s="5" t="s">
        <v>96</v>
      </c>
      <c r="C5" s="5" t="s">
        <v>97</v>
      </c>
    </row>
    <row r="6" ht="22.5" customHeight="1" spans="2:5">
      <c r="B6" s="6" t="s">
        <v>98</v>
      </c>
      <c r="C6" s="7">
        <f>'Infraestructura(HW y SW)'!G19</f>
        <v>5860000</v>
      </c>
    </row>
    <row r="7" ht="22.5" customHeight="1" spans="2:5">
      <c r="B7" s="6" t="s">
        <v>99</v>
      </c>
      <c r="C7" s="7">
        <f>'Talento Humano'!F14</f>
        <v>11260000</v>
      </c>
    </row>
    <row r="8" ht="22.5" customHeight="1" spans="2:5">
      <c r="B8" s="6" t="s">
        <v>100</v>
      </c>
      <c r="C8" s="7">
        <f>(C6+C7)*0.1</f>
        <v>1712000</v>
      </c>
    </row>
    <row r="9" ht="22.5" customHeight="1" spans="2:5">
      <c r="B9" s="8" t="s">
        <v>101</v>
      </c>
      <c r="C9" s="9">
        <f>SUM(C6:C8)</f>
        <v>18832000</v>
      </c>
      <c r="E9" s="10"/>
    </row>
    <row r="10" spans="2:5">
      <c r="E10" s="11"/>
    </row>
    <row r="11" ht="13.2" spans="2:5">
      <c r="E11" s="12"/>
    </row>
    <row r="12" ht="13.2" spans="2:5">
      <c r="E12" s="10"/>
    </row>
    <row r="15" spans="2:5">
      <c r="E15" s="13"/>
    </row>
    <row r="16" ht="13.2" spans="2:5">
      <c r="E16" s="12"/>
    </row>
    <row r="17" ht="13.2" spans="5:5">
      <c r="E17" s="12"/>
    </row>
    <row r="18" ht="13.2" spans="5:5">
      <c r="E18" s="12"/>
    </row>
  </sheetData>
  <mergeCells count="2">
    <mergeCell ref="B2:C2"/>
    <mergeCell ref="B3:C3"/>
  </mergeCells>
  <dataValidations count="1">
    <dataValidation type="custom" allowBlank="1" sqref="C6:C9">
      <formula1>AND(ISNUMBER(C6),(NOT(OR(NOT(ISERROR(DATEVALUE(C6))),AND(ISNUMBER(C6),LEFT(CELL("format",C6))="D")))))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Ejemplo de la Plantilla</vt:lpstr>
      <vt:lpstr>Infraestructura(HW y SW)</vt:lpstr>
      <vt:lpstr>Análisis de Proveedores</vt:lpstr>
      <vt:lpstr>Talento Humano</vt:lpstr>
      <vt:lpstr>Resumen Ejecutivo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janel</cp:lastModifiedBy>
  <dcterms:created xsi:type="dcterms:W3CDTF">2026-09-09T01:31:00Z</dcterms:created>
  <dcterms:modified xsi:type="dcterms:W3CDTF">2026-09-24T23:39:02Z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9FD1261861E748D88B45E3EF3DCF390F_13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